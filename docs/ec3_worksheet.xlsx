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st" sheetId="2" state="visible" r:id="rId4"/>
    <sheet name="mass" sheetId="3" state="visible" r:id="rId5"/>
    <sheet name="co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<sst xmlns="http://schemas.openxmlformats.org/spreadsheetml/2006/main" count="427" uniqueCount="125">
  <si>
    <t xml:space="preserve">EC3 hand-calculation workbook (generated by pipeline/14_ec3_crosscheck.py --xlsx)</t>
  </si>
  <si>
    <t xml:space="preserve">One sheet per objective: the best-known reference design of the central context (median span, median load).</t>
  </si>
  <si>
    <t xml:space="preserve">Blue cells are inputs and can be changed; every other number in the column 'Excel' is a live formula.</t>
  </si>
  <si>
    <t xml:space="preserve">Column 'Python' holds the values computed by hand_calc() in the script (fixed numbers); 'Difference' = Excel / Python - 1.</t>
  </si>
  <si>
    <t xml:space="preserve">Column 'Reviewer' is empty: enter your own calculation (calculator, other software) for any step.</t>
  </si>
  <si>
    <t xml:space="preserve">Model assumptions that are not EC3 values are marked 'assumption' next to their cell (L_cr, C1, serviceability load, rolled factors).</t>
  </si>
  <si>
    <t xml:space="preserve">Steps marked 'not in model' (shear buckling, EN 1993-1-5 5.3) are not part of the model's check.</t>
  </si>
  <si>
    <t xml:space="preserve">cost: rolled, S355</t>
  </si>
  <si>
    <t xml:space="preserve">Input</t>
  </si>
  <si>
    <t xml:space="preserve">Value</t>
  </si>
  <si>
    <t xml:space="preserve">Unit</t>
  </si>
  <si>
    <t xml:space="preserve">Note</t>
  </si>
  <si>
    <t xml:space="preserve">h</t>
  </si>
  <si>
    <t xml:space="preserve">mm</t>
  </si>
  <si>
    <t xml:space="preserve">b</t>
  </si>
  <si>
    <t xml:space="preserve">tf</t>
  </si>
  <si>
    <t xml:space="preserve">tw</t>
  </si>
  <si>
    <t xml:space="preserve">fy</t>
  </si>
  <si>
    <t xml:space="preserve">N/mm2</t>
  </si>
  <si>
    <t xml:space="preserve">section type</t>
  </si>
  <si>
    <t xml:space="preserve">rolled</t>
  </si>
  <si>
    <t xml:space="preserve">'rolled' or 'welded'</t>
  </si>
  <si>
    <t xml:space="preserve">span</t>
  </si>
  <si>
    <t xml:space="preserve">m</t>
  </si>
  <si>
    <t xml:space="preserve">w (factored UDL)</t>
  </si>
  <si>
    <t xml:space="preserve">kN/m</t>
  </si>
  <si>
    <t xml:space="preserve">E</t>
  </si>
  <si>
    <t xml:space="preserve">G</t>
  </si>
  <si>
    <t xml:space="preserve">gamma_M0 = gamma_M1</t>
  </si>
  <si>
    <t xml:space="preserve">L_cr / span</t>
  </si>
  <si>
    <t xml:space="preserve">assumption (restraint spacing), not an EC3 value</t>
  </si>
  <si>
    <t xml:space="preserve">C1</t>
  </si>
  <si>
    <t xml:space="preserve">assumption: UDL, simply supported, k = 1</t>
  </si>
  <si>
    <t xml:space="preserve">serviceability load / w</t>
  </si>
  <si>
    <t xml:space="preserve">assumption of the model, not an EC3 value</t>
  </si>
  <si>
    <t xml:space="preserve">deflection limit L /</t>
  </si>
  <si>
    <t xml:space="preserve">model value</t>
  </si>
  <si>
    <t xml:space="preserve">rolled factor A, W_pl</t>
  </si>
  <si>
    <t xml:space="preserve">assumption (generic fillet factor)</t>
  </si>
  <si>
    <t xml:space="preserve">rolled factor I_y</t>
  </si>
  <si>
    <t xml:space="preserve">assumption</t>
  </si>
  <si>
    <t xml:space="preserve">rolled factor I_t</t>
  </si>
  <si>
    <t xml:space="preserve">root radius / tf (class check)</t>
  </si>
  <si>
    <t xml:space="preserve">Step</t>
  </si>
  <si>
    <t xml:space="preserve">Formula</t>
  </si>
  <si>
    <t xml:space="preserve">Excel</t>
  </si>
  <si>
    <t xml:space="preserve">Python</t>
  </si>
  <si>
    <t xml:space="preserve">Difference</t>
  </si>
  <si>
    <t xml:space="preserve">Model (env)</t>
  </si>
  <si>
    <t xml:space="preserve">Reviewer</t>
  </si>
  <si>
    <t xml:space="preserve">epsilon</t>
  </si>
  <si>
    <t xml:space="preserve">sqrt(235/fy)</t>
  </si>
  <si>
    <t xml:space="preserve">web height h_w</t>
  </si>
  <si>
    <t xml:space="preserve">h - 2 tf</t>
  </si>
  <si>
    <t xml:space="preserve">root radius used</t>
  </si>
  <si>
    <t xml:space="preserve">0.1 tf (rolled), 0 (welded)</t>
  </si>
  <si>
    <t xml:space="preserve">flange outstand c_f</t>
  </si>
  <si>
    <t xml:space="preserve">(b - tw)/2 - r</t>
  </si>
  <si>
    <t xml:space="preserve">web depth c_w</t>
  </si>
  <si>
    <t xml:space="preserve">h_w - 2 r</t>
  </si>
  <si>
    <t xml:space="preserve">c_f / (t_f eps)</t>
  </si>
  <si>
    <t xml:space="preserve">Table 5.2: class 1 &lt;= 9, 2 &lt;= 10, 3 &lt;= 14</t>
  </si>
  <si>
    <t xml:space="preserve">c_w / (t_w eps)</t>
  </si>
  <si>
    <t xml:space="preserve">Table 5.2 (bending): class 1 &lt;= 72, 2 &lt;= 83, 3 &lt;= 124</t>
  </si>
  <si>
    <t xml:space="preserve">section class</t>
  </si>
  <si>
    <t xml:space="preserve">worse of flange and web</t>
  </si>
  <si>
    <t xml:space="preserve">A</t>
  </si>
  <si>
    <t xml:space="preserve">(h_w tw + 2 b tf) x factor</t>
  </si>
  <si>
    <t xml:space="preserve">mm2</t>
  </si>
  <si>
    <t xml:space="preserve">I_y</t>
  </si>
  <si>
    <t xml:space="preserve">[tw h_w^3/12 + 2(b tf^3/12 + b tf (h/2 - tf/2)^2)] x factor</t>
  </si>
  <si>
    <t xml:space="preserve">mm4</t>
  </si>
  <si>
    <t xml:space="preserve">W_el,y</t>
  </si>
  <si>
    <t xml:space="preserve">I_y / (h/2)</t>
  </si>
  <si>
    <t xml:space="preserve">mm3</t>
  </si>
  <si>
    <t xml:space="preserve">W_pl,y</t>
  </si>
  <si>
    <t xml:space="preserve">[2 b tf (h/2 - tf/2) + tw h_w^2/4] x factor</t>
  </si>
  <si>
    <t xml:space="preserve">I_z</t>
  </si>
  <si>
    <t xml:space="preserve">2 tf b^3/12 + h_w tw^3/12</t>
  </si>
  <si>
    <t xml:space="preserve">M_c,Rd</t>
  </si>
  <si>
    <t xml:space="preserve">W fy / gamma_M0, W = W_pl (class 1-2) or W_el (class 3)</t>
  </si>
  <si>
    <t xml:space="preserve">kNm</t>
  </si>
  <si>
    <t xml:space="preserve">I_t</t>
  </si>
  <si>
    <t xml:space="preserve">(2 b tf^3 + h_w tw^3)/3 x factor</t>
  </si>
  <si>
    <t xml:space="preserve">I_w</t>
  </si>
  <si>
    <t xml:space="preserve">I_z (h - tf)^2 / 4</t>
  </si>
  <si>
    <t xml:space="preserve">mm6</t>
  </si>
  <si>
    <t xml:space="preserve">L_cr</t>
  </si>
  <si>
    <t xml:space="preserve">(L_cr/span) x span</t>
  </si>
  <si>
    <t xml:space="preserve">M_cr</t>
  </si>
  <si>
    <t xml:space="preserve">C1 pi^2 E Iz / L_cr^2 sqrt(Iw/Iz + L_cr^2 G It / (pi^2 E Iz))</t>
  </si>
  <si>
    <t xml:space="preserve">lambda_LT</t>
  </si>
  <si>
    <t xml:space="preserve">sqrt(W fy / M_cr)</t>
  </si>
  <si>
    <t xml:space="preserve">alpha_LT</t>
  </si>
  <si>
    <t xml:space="preserve">Table 6.4: rolled h/b&lt;=2 0.21, &gt;2 0.34; welded h/b&lt;=2 0.49, &gt;2 0.76</t>
  </si>
  <si>
    <t xml:space="preserve">phi_LT</t>
  </si>
  <si>
    <t xml:space="preserve">0.5 [1 + alpha (lambda - 0.2) + lambda^2]</t>
  </si>
  <si>
    <t xml:space="preserve">chi_LT</t>
  </si>
  <si>
    <t xml:space="preserve">min(1, 1/(phi + sqrt(phi^2 - lambda^2)))</t>
  </si>
  <si>
    <t xml:space="preserve">M_b,Rd</t>
  </si>
  <si>
    <t xml:space="preserve">chi_LT M_c,Rd</t>
  </si>
  <si>
    <t xml:space="preserve">A_v</t>
  </si>
  <si>
    <t xml:space="preserve">A - 2 b tf + (tw + 2r) tf (rolled); h_w tw (welded)</t>
  </si>
  <si>
    <t xml:space="preserve">V_pl,Rd</t>
  </si>
  <si>
    <t xml:space="preserve">A_v fy / (sqrt(3) gamma_M0)</t>
  </si>
  <si>
    <t xml:space="preserve">kN</t>
  </si>
  <si>
    <t xml:space="preserve">V_Ed</t>
  </si>
  <si>
    <t xml:space="preserve">w L / 2</t>
  </si>
  <si>
    <t xml:space="preserve">M_Ed</t>
  </si>
  <si>
    <t xml:space="preserve">w L^2 / 8</t>
  </si>
  <si>
    <t xml:space="preserve">V_Ed / V_pl,Rd</t>
  </si>
  <si>
    <t xml:space="preserve">interaction reduction only if &gt; 0.5</t>
  </si>
  <si>
    <t xml:space="preserve">M_Ed / M_b,Rd</t>
  </si>
  <si>
    <t xml:space="preserve">ULS utilisation</t>
  </si>
  <si>
    <t xml:space="preserve">delta</t>
  </si>
  <si>
    <t xml:space="preserve">5 w_sls L^4 / (384 E I_y)</t>
  </si>
  <si>
    <t xml:space="preserve">delta / (L/250)</t>
  </si>
  <si>
    <t xml:space="preserve">SLS utilisation</t>
  </si>
  <si>
    <t xml:space="preserve">lambda_w (not in model)</t>
  </si>
  <si>
    <t xml:space="preserve">h_w / (86.4 tw eps)  (EN 1993-1-5 5.3(5))</t>
  </si>
  <si>
    <t xml:space="preserve">V_Ed / V_bw,Rd (not in model)</t>
  </si>
  <si>
    <t xml:space="preserve">chi_w (Table 5.1, rigid end post) f_y h_w tw / (sqrt(3) gamma_M1)</t>
  </si>
  <si>
    <t xml:space="preserve">Python and Model (env) columns are fixed numbers from hand_calc() and hss_env._ec3_analysis().</t>
  </si>
  <si>
    <t xml:space="preserve">mass: rolled, S550</t>
  </si>
  <si>
    <t xml:space="preserve">co2: rolled, S690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</si>
</sst>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5" topLeftCell="A2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3" t="s">
        <v>7</v>
      </c>
    </row>
    <row r="3" customFormat="false" ht="15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</row>
    <row r="4" customFormat="false" ht="15" hidden="false" customHeight="false" outlineLevel="0" collapsed="false">
      <c r="A4" s="2" t="s">
        <v>12</v>
      </c>
      <c r="B4" s="5" t="n">
        <v>548.9515132295</v>
      </c>
      <c r="C4" s="2" t="s">
        <v>13</v>
      </c>
      <c r="D4" s="2"/>
    </row>
    <row r="5" customFormat="false" ht="15" hidden="false" customHeight="false" outlineLevel="0" collapsed="false">
      <c r="A5" s="2" t="s">
        <v>14</v>
      </c>
      <c r="B5" s="5" t="n">
        <v>275.712000781734</v>
      </c>
      <c r="C5" s="2" t="s">
        <v>13</v>
      </c>
      <c r="D5" s="2"/>
    </row>
    <row r="6" customFormat="false" ht="15" hidden="false" customHeight="false" outlineLevel="0" collapsed="false">
      <c r="A6" s="2" t="s">
        <v>15</v>
      </c>
      <c r="B6" s="5" t="n">
        <v>16.4363275251229</v>
      </c>
      <c r="C6" s="2" t="s">
        <v>13</v>
      </c>
      <c r="D6" s="2"/>
    </row>
    <row r="7" customFormat="false" ht="15" hidden="false" customHeight="false" outlineLevel="0" collapsed="false">
      <c r="A7" s="2" t="s">
        <v>16</v>
      </c>
      <c r="B7" s="5" t="n">
        <v>8.40356648454689</v>
      </c>
      <c r="C7" s="2" t="s">
        <v>13</v>
      </c>
      <c r="D7" s="2"/>
    </row>
    <row r="8" customFormat="false" ht="15" hidden="false" customHeight="false" outlineLevel="0" collapsed="false">
      <c r="A8" s="2" t="s">
        <v>17</v>
      </c>
      <c r="B8" s="5" t="n">
        <v>355</v>
      </c>
      <c r="C8" s="2" t="s">
        <v>18</v>
      </c>
      <c r="D8" s="2"/>
    </row>
    <row r="9" customFormat="false" ht="15" hidden="false" customHeight="false" outlineLevel="0" collapsed="false">
      <c r="A9" s="2" t="s">
        <v>19</v>
      </c>
      <c r="B9" s="5" t="s">
        <v>20</v>
      </c>
      <c r="C9" s="2"/>
      <c r="D9" s="2" t="s">
        <v>21</v>
      </c>
    </row>
    <row r="10" customFormat="false" ht="15" hidden="false" customHeight="false" outlineLevel="0" collapsed="false">
      <c r="A10" s="2" t="s">
        <v>22</v>
      </c>
      <c r="B10" s="5" t="n">
        <v>10.0909090909091</v>
      </c>
      <c r="C10" s="2" t="s">
        <v>23</v>
      </c>
      <c r="D10" s="2"/>
    </row>
    <row r="11" customFormat="false" ht="15" hidden="false" customHeight="false" outlineLevel="0" collapsed="false">
      <c r="A11" s="2" t="s">
        <v>24</v>
      </c>
      <c r="B11" s="5" t="n">
        <v>74.5454545454545</v>
      </c>
      <c r="C11" s="2" t="s">
        <v>25</v>
      </c>
      <c r="D11" s="2"/>
    </row>
    <row r="12" customFormat="false" ht="15" hidden="false" customHeight="false" outlineLevel="0" collapsed="false">
      <c r="A12" s="2" t="s">
        <v>26</v>
      </c>
      <c r="B12" s="5" t="n">
        <v>210000</v>
      </c>
      <c r="C12" s="2" t="s">
        <v>18</v>
      </c>
      <c r="D12" s="2"/>
    </row>
    <row r="13" customFormat="false" ht="15" hidden="false" customHeight="false" outlineLevel="0" collapsed="false">
      <c r="A13" s="2" t="s">
        <v>27</v>
      </c>
      <c r="B13" s="5" t="n">
        <v>81000</v>
      </c>
      <c r="C13" s="2" t="s">
        <v>18</v>
      </c>
      <c r="D13" s="2"/>
    </row>
    <row r="14" customFormat="false" ht="15" hidden="false" customHeight="false" outlineLevel="0" collapsed="false">
      <c r="A14" s="2" t="s">
        <v>28</v>
      </c>
      <c r="B14" s="5" t="n">
        <v>1</v>
      </c>
      <c r="C14" s="2"/>
      <c r="D14" s="2"/>
    </row>
    <row r="15" customFormat="false" ht="15" hidden="false" customHeight="false" outlineLevel="0" collapsed="false">
      <c r="A15" s="2" t="s">
        <v>29</v>
      </c>
      <c r="B15" s="5" t="n">
        <v>0.4</v>
      </c>
      <c r="C15" s="2"/>
      <c r="D15" s="2" t="s">
        <v>30</v>
      </c>
    </row>
    <row r="16" customFormat="false" ht="15" hidden="false" customHeight="false" outlineLevel="0" collapsed="false">
      <c r="A16" s="2" t="s">
        <v>31</v>
      </c>
      <c r="B16" s="5" t="n">
        <v>1.13</v>
      </c>
      <c r="C16" s="2"/>
      <c r="D16" s="2" t="s">
        <v>32</v>
      </c>
    </row>
    <row r="17" customFormat="false" ht="15" hidden="false" customHeight="false" outlineLevel="0" collapsed="false">
      <c r="A17" s="2" t="s">
        <v>33</v>
      </c>
      <c r="B17" s="5" t="n">
        <v>0.5</v>
      </c>
      <c r="C17" s="2"/>
      <c r="D17" s="2" t="s">
        <v>34</v>
      </c>
    </row>
    <row r="18" customFormat="false" ht="15" hidden="false" customHeight="false" outlineLevel="0" collapsed="false">
      <c r="A18" s="2" t="s">
        <v>35</v>
      </c>
      <c r="B18" s="5" t="n">
        <v>250</v>
      </c>
      <c r="C18" s="2"/>
      <c r="D18" s="2" t="s">
        <v>36</v>
      </c>
    </row>
    <row r="19" customFormat="false" ht="15" hidden="false" customHeight="false" outlineLevel="0" collapsed="false">
      <c r="A19" s="2" t="s">
        <v>37</v>
      </c>
      <c r="B19" s="5" t="n">
        <v>1.05</v>
      </c>
      <c r="C19" s="2"/>
      <c r="D19" s="2" t="s">
        <v>38</v>
      </c>
    </row>
    <row r="20" customFormat="false" ht="15" hidden="false" customHeight="false" outlineLevel="0" collapsed="false">
      <c r="A20" s="2" t="s">
        <v>39</v>
      </c>
      <c r="B20" s="5" t="n">
        <v>1.02</v>
      </c>
      <c r="C20" s="2"/>
      <c r="D20" s="2" t="s">
        <v>40</v>
      </c>
    </row>
    <row r="21" customFormat="false" ht="15" hidden="false" customHeight="false" outlineLevel="0" collapsed="false">
      <c r="A21" s="2" t="s">
        <v>41</v>
      </c>
      <c r="B21" s="5" t="n">
        <v>1.15</v>
      </c>
      <c r="C21" s="2"/>
      <c r="D21" s="2" t="s">
        <v>40</v>
      </c>
    </row>
    <row r="22" customFormat="false" ht="15" hidden="false" customHeight="false" outlineLevel="0" collapsed="false">
      <c r="A22" s="2" t="s">
        <v>42</v>
      </c>
      <c r="B22" s="5" t="n">
        <v>0.1</v>
      </c>
      <c r="C22" s="2"/>
      <c r="D22" s="2" t="s">
        <v>40</v>
      </c>
    </row>
    <row r="25" customFormat="false" ht="15" hidden="false" customHeight="false" outlineLevel="0" collapsed="false">
      <c r="A25" s="4" t="s">
        <v>43</v>
      </c>
      <c r="B25" s="4" t="s">
        <v>44</v>
      </c>
      <c r="C25" s="4" t="s">
        <v>10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/>
      <c r="D26" s="2" t="n">
        <f aca="false">SQRT(235/$B$8)</f>
        <v>0.813616513466827</v>
      </c>
      <c r="E26" s="2" t="n">
        <v>0.813616513466827</v>
      </c>
      <c r="F26" s="6" t="n">
        <f aca="false">IF(E26=0,0,D26/E26-1)</f>
        <v>0</v>
      </c>
    </row>
    <row r="27" customFormat="false" ht="15" hidden="false" customHeight="false" outlineLevel="0" collapsed="false">
      <c r="A27" s="2" t="s">
        <v>52</v>
      </c>
      <c r="B27" s="2" t="s">
        <v>53</v>
      </c>
      <c r="C27" s="2" t="s">
        <v>13</v>
      </c>
      <c r="D27" s="2" t="n">
        <f aca="false">$B$4-2*$B$6</f>
        <v>516.078858179254</v>
      </c>
      <c r="E27" s="2" t="n">
        <v>516.078858179254</v>
      </c>
      <c r="F27" s="6" t="n">
        <f aca="false">IF(E27=0,0,D27/E27-1)</f>
        <v>0</v>
      </c>
    </row>
    <row r="28" customFormat="false" ht="15" hidden="false" customHeight="false" outlineLevel="0" collapsed="false">
      <c r="A28" s="2" t="s">
        <v>54</v>
      </c>
      <c r="B28" s="2" t="s">
        <v>55</v>
      </c>
      <c r="C28" s="2" t="s">
        <v>13</v>
      </c>
      <c r="D28" s="2" t="n">
        <f aca="false">IF(($B$9="rolled"),$B$22*$B$6,0)</f>
        <v>1.64363275251229</v>
      </c>
      <c r="E28" s="2" t="n">
        <v>1.64363275251229</v>
      </c>
      <c r="F28" s="6" t="n">
        <f aca="false">IF(E28=0,0,D28/E28-1)</f>
        <v>0</v>
      </c>
    </row>
    <row r="29" customFormat="false" ht="15" hidden="false" customHeight="false" outlineLevel="0" collapsed="false">
      <c r="A29" s="2" t="s">
        <v>56</v>
      </c>
      <c r="B29" s="2" t="s">
        <v>57</v>
      </c>
      <c r="C29" s="2" t="s">
        <v>13</v>
      </c>
      <c r="D29" s="2" t="n">
        <f aca="false">($B$5-$B$7)/2-$D$28</f>
        <v>132.010584396081</v>
      </c>
      <c r="E29" s="2" t="n">
        <v>132.010584396081</v>
      </c>
      <c r="F29" s="6" t="n">
        <f aca="false">IF(E29=0,0,D29/E29-1)</f>
        <v>0</v>
      </c>
    </row>
    <row r="30" customFormat="false" ht="15" hidden="false" customHeight="false" outlineLevel="0" collapsed="false">
      <c r="A30" s="2" t="s">
        <v>58</v>
      </c>
      <c r="B30" s="2" t="s">
        <v>59</v>
      </c>
      <c r="C30" s="2" t="s">
        <v>13</v>
      </c>
      <c r="D30" s="2" t="n">
        <f aca="false">$D$27-2*$D$28</f>
        <v>512.791592674229</v>
      </c>
      <c r="E30" s="2" t="n">
        <v>512.791592674229</v>
      </c>
      <c r="F30" s="6" t="n">
        <f aca="false">IF(E30=0,0,D30/E30-1)</f>
        <v>0</v>
      </c>
    </row>
    <row r="31" customFormat="false" ht="15" hidden="false" customHeight="false" outlineLevel="0" collapsed="false">
      <c r="A31" s="2" t="s">
        <v>60</v>
      </c>
      <c r="B31" s="2" t="s">
        <v>61</v>
      </c>
      <c r="C31" s="2"/>
      <c r="D31" s="2" t="n">
        <f aca="false">$D$29/($B$6*$D$26)</f>
        <v>9.871524147201</v>
      </c>
      <c r="E31" s="2" t="n">
        <v>9.871524147201</v>
      </c>
      <c r="F31" s="6" t="n">
        <f aca="false">IF(E31=0,0,D31/E31-1)</f>
        <v>0</v>
      </c>
    </row>
    <row r="32" customFormat="false" ht="15" hidden="false" customHeight="false" outlineLevel="0" collapsed="false">
      <c r="A32" s="2" t="s">
        <v>62</v>
      </c>
      <c r="B32" s="2" t="s">
        <v>63</v>
      </c>
      <c r="C32" s="2"/>
      <c r="D32" s="2" t="n">
        <f aca="false">$D$30/($B$7*$D$26)</f>
        <v>74.9993503098091</v>
      </c>
      <c r="E32" s="2" t="n">
        <v>74.9993503098091</v>
      </c>
      <c r="F32" s="6" t="n">
        <f aca="false">IF(E32=0,0,D32/E32-1)</f>
        <v>0</v>
      </c>
    </row>
    <row r="33" customFormat="false" ht="15" hidden="false" customHeight="false" outlineLevel="0" collapsed="false">
      <c r="A33" s="2" t="s">
        <v>64</v>
      </c>
      <c r="B33" s="2" t="s">
        <v>65</v>
      </c>
      <c r="C33" s="2"/>
      <c r="D33" s="2" t="n">
        <f aca="false">IF(AND($D$31&lt;=9,$D$32&lt;=72),1,IF(AND($D$31&lt;=10,$D$32&lt;=83),2,IF(AND($D$31&lt;=14,$D$32&lt;=124),3,4)))</f>
        <v>2</v>
      </c>
      <c r="E33" s="2" t="n">
        <v>2</v>
      </c>
      <c r="F33" s="6" t="n">
        <f aca="false">IF(E33=0,0,D33/E33-1)</f>
        <v>0</v>
      </c>
      <c r="G33" s="2" t="n">
        <v>2</v>
      </c>
    </row>
    <row r="34" customFormat="false" ht="15" hidden="false" customHeight="false" outlineLevel="0" collapsed="false">
      <c r="A34" s="2" t="s">
        <v>66</v>
      </c>
      <c r="B34" s="2" t="s">
        <v>67</v>
      </c>
      <c r="C34" s="2" t="s">
        <v>68</v>
      </c>
      <c r="D34" s="2" t="n">
        <f aca="false">($D$27*$B$7+2*$B$5*$B$6)*IF(($B$9="rolled"),$B$19,1)</f>
        <v>14070.3029154339</v>
      </c>
      <c r="E34" s="2" t="n">
        <v>14070.3029154339</v>
      </c>
      <c r="F34" s="6" t="n">
        <f aca="false">IF(E34=0,0,D34/E34-1)</f>
        <v>0</v>
      </c>
    </row>
    <row r="35" customFormat="false" ht="15" hidden="false" customHeight="false" outlineLevel="0" collapsed="false">
      <c r="A35" s="2" t="s">
        <v>69</v>
      </c>
      <c r="B35" s="2" t="s">
        <v>70</v>
      </c>
      <c r="C35" s="2" t="s">
        <v>71</v>
      </c>
      <c r="D35" s="2" t="n">
        <f aca="false">($B$7*$D$27^3/12+2*($B$5*$B$6^3/12+$B$5*$B$6*($B$4/2-$B$6/2)^2))*IF(($B$9="rolled"),$B$20,1)</f>
        <v>753772050.049163</v>
      </c>
      <c r="E35" s="2" t="n">
        <v>753772050.049163</v>
      </c>
      <c r="F35" s="6" t="n">
        <f aca="false">IF(E35=0,0,D35/E35-1)</f>
        <v>0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74</v>
      </c>
      <c r="D36" s="2" t="n">
        <f aca="false">$D$35/($B$4/2)</f>
        <v>2746224.50939136</v>
      </c>
      <c r="E36" s="2" t="n">
        <v>2746224.50939136</v>
      </c>
      <c r="F36" s="6" t="n">
        <f aca="false">IF(E36=0,0,D36/E36-1)</f>
        <v>0</v>
      </c>
    </row>
    <row r="37" customFormat="false" ht="15" hidden="false" customHeight="false" outlineLevel="0" collapsed="false">
      <c r="A37" s="2" t="s">
        <v>75</v>
      </c>
      <c r="B37" s="2" t="s">
        <v>76</v>
      </c>
      <c r="C37" s="2" t="s">
        <v>74</v>
      </c>
      <c r="D37" s="2" t="n">
        <f aca="false">(2*$B$5*$B$6*($B$4/2-$B$6/2)+$B$7*$D$27^2/4)*IF(($B$9="rolled"),$B$19,1)</f>
        <v>3121378.25109194</v>
      </c>
      <c r="E37" s="2" t="n">
        <v>3121378.25109194</v>
      </c>
      <c r="F37" s="6" t="n">
        <f aca="false">IF(E37=0,0,D37/E37-1)</f>
        <v>0</v>
      </c>
    </row>
    <row r="38" customFormat="false" ht="15" hidden="false" customHeight="false" outlineLevel="0" collapsed="false">
      <c r="A38" s="2" t="s">
        <v>77</v>
      </c>
      <c r="B38" s="2" t="s">
        <v>78</v>
      </c>
      <c r="C38" s="2" t="s">
        <v>71</v>
      </c>
      <c r="D38" s="2" t="n">
        <f aca="false">2*$B$6*$B$5^3/12+$D$27*$B$7^3/12</f>
        <v>57439885.011066</v>
      </c>
      <c r="E38" s="2" t="n">
        <v>57439885.011066</v>
      </c>
      <c r="F38" s="6" t="n">
        <f aca="false">IF(E38=0,0,D38/E38-1)</f>
        <v>0</v>
      </c>
    </row>
    <row r="39" customFormat="false" ht="15" hidden="false" customHeight="false" outlineLevel="0" collapsed="false">
      <c r="A39" s="2" t="s">
        <v>79</v>
      </c>
      <c r="B39" s="2" t="s">
        <v>80</v>
      </c>
      <c r="C39" s="2" t="s">
        <v>81</v>
      </c>
      <c r="D39" s="2" t="n">
        <f aca="false">IF($D$33&lt;=2,$D$37,$D$36)*$B$8/$B$14/1000000</f>
        <v>1108.08927913764</v>
      </c>
      <c r="E39" s="2" t="n">
        <v>1108.08927913764</v>
      </c>
      <c r="F39" s="6" t="n">
        <f aca="false">IF(E39=0,0,D39/E39-1)</f>
        <v>0</v>
      </c>
    </row>
    <row r="40" customFormat="false" ht="15" hidden="false" customHeight="false" outlineLevel="0" collapsed="false">
      <c r="A40" s="2" t="s">
        <v>82</v>
      </c>
      <c r="B40" s="2" t="s">
        <v>83</v>
      </c>
      <c r="C40" s="2" t="s">
        <v>71</v>
      </c>
      <c r="D40" s="2" t="n">
        <f aca="false">(2*$B$5*$B$6^3+$D$27*$B$7^3)/3*IF(($B$9="rolled"),$B$21,1)</f>
        <v>1055995.67267784</v>
      </c>
      <c r="E40" s="2" t="n">
        <v>1055995.67267784</v>
      </c>
      <c r="F40" s="6" t="n">
        <f aca="false">IF(E40=0,0,D40/E40-1)</f>
        <v>0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2" t="s">
        <v>86</v>
      </c>
      <c r="D41" s="2" t="n">
        <f aca="false">$D$38*($B$4-$B$6)^2/4</f>
        <v>4072091842440.16</v>
      </c>
      <c r="E41" s="2" t="n">
        <v>4072091842440.16</v>
      </c>
      <c r="F41" s="6" t="n">
        <f aca="false">IF(E41=0,0,D41/E41-1)</f>
        <v>0</v>
      </c>
    </row>
    <row r="42" customFormat="false" ht="15" hidden="false" customHeight="false" outlineLevel="0" collapsed="false">
      <c r="A42" s="2" t="s">
        <v>87</v>
      </c>
      <c r="B42" s="2" t="s">
        <v>88</v>
      </c>
      <c r="C42" s="2" t="s">
        <v>13</v>
      </c>
      <c r="D42" s="2" t="n">
        <f aca="false">$B$15*$B$10*1000</f>
        <v>4036.36363636364</v>
      </c>
      <c r="E42" s="2" t="n">
        <v>4036.36363636364</v>
      </c>
      <c r="F42" s="6" t="n">
        <f aca="false">IF(E42=0,0,D42/E42-1)</f>
        <v>0</v>
      </c>
    </row>
    <row r="43" customFormat="false" ht="15" hidden="false" customHeight="false" outlineLevel="0" collapsed="false">
      <c r="A43" s="2" t="s">
        <v>31</v>
      </c>
      <c r="B43" s="2" t="s">
        <v>31</v>
      </c>
      <c r="C43" s="2"/>
      <c r="D43" s="2" t="n">
        <f aca="false">$B$16</f>
        <v>1.13</v>
      </c>
      <c r="E43" s="2" t="n">
        <v>1.13</v>
      </c>
      <c r="F43" s="6" t="n">
        <f aca="false">IF(E43=0,0,D43/E43-1)</f>
        <v>0</v>
      </c>
    </row>
    <row r="44" customFormat="false" ht="15" hidden="false" customHeight="false" outlineLevel="0" collapsed="false">
      <c r="A44" s="2" t="s">
        <v>89</v>
      </c>
      <c r="B44" s="2" t="s">
        <v>90</v>
      </c>
      <c r="C44" s="2" t="s">
        <v>81</v>
      </c>
      <c r="D44" s="2" t="n">
        <f aca="false">$D$43*PI()^2*$B$12*$D$38/$D$42^2*SQRT($D$41/$D$38+$D$42^2*$B$13*$D$40/(PI()^2*$B$12*$D$38))/1000000</f>
        <v>2373.10633759092</v>
      </c>
      <c r="E44" s="2" t="n">
        <v>2373.10633759092</v>
      </c>
      <c r="F44" s="6" t="n">
        <f aca="false">IF(E44=0,0,D44/E44-1)</f>
        <v>0</v>
      </c>
    </row>
    <row r="45" customFormat="false" ht="15" hidden="false" customHeight="false" outlineLevel="0" collapsed="false">
      <c r="A45" s="2" t="s">
        <v>91</v>
      </c>
      <c r="B45" s="2" t="s">
        <v>92</v>
      </c>
      <c r="C45" s="2"/>
      <c r="D45" s="2" t="n">
        <f aca="false">SQRT(IF($D$33&lt;=2,$D$37,$D$36)*$B$8/1000000/$D$44)</f>
        <v>0.683327308083771</v>
      </c>
      <c r="E45" s="2" t="n">
        <v>0.683327308083771</v>
      </c>
      <c r="F45" s="6" t="n">
        <f aca="false">IF(E45=0,0,D45/E45-1)</f>
        <v>0</v>
      </c>
      <c r="G45" s="2" t="n">
        <v>0.683327308083771</v>
      </c>
    </row>
    <row r="46" customFormat="false" ht="15" hidden="false" customHeight="false" outlineLevel="0" collapsed="false">
      <c r="A46" s="2" t="s">
        <v>93</v>
      </c>
      <c r="B46" s="2" t="s">
        <v>94</v>
      </c>
      <c r="C46" s="2"/>
      <c r="D46" s="2" t="n">
        <f aca="false">IF(($B$9="rolled"),IF($B$4/$B$5&gt;2,0.34,0.21),IF($B$4/$B$5&gt;2,0.76,0.49))</f>
        <v>0.21</v>
      </c>
      <c r="E46" s="2" t="n">
        <v>0.21</v>
      </c>
      <c r="F46" s="6" t="n">
        <f aca="false">IF(E46=0,0,D46/E46-1)</f>
        <v>0</v>
      </c>
    </row>
    <row r="47" customFormat="false" ht="15" hidden="false" customHeight="false" outlineLevel="0" collapsed="false">
      <c r="A47" s="2" t="s">
        <v>95</v>
      </c>
      <c r="B47" s="2" t="s">
        <v>96</v>
      </c>
      <c r="C47" s="2"/>
      <c r="D47" s="2" t="n">
        <f aca="false">0.5*(1+$D$46*($D$45-0.2)+$D$45^2)</f>
        <v>0.784217472335302</v>
      </c>
      <c r="E47" s="2" t="n">
        <v>0.784217472335302</v>
      </c>
      <c r="F47" s="6" t="n">
        <f aca="false">IF(E47=0,0,D47/E47-1)</f>
        <v>0</v>
      </c>
    </row>
    <row r="48" customFormat="false" ht="15" hidden="false" customHeight="false" outlineLevel="0" collapsed="false">
      <c r="A48" s="2" t="s">
        <v>97</v>
      </c>
      <c r="B48" s="2" t="s">
        <v>98</v>
      </c>
      <c r="C48" s="2"/>
      <c r="D48" s="2" t="n">
        <f aca="false">MIN(1,1/($D$47+SQRT($D$47^2-$D$45^2)))</f>
        <v>0.855428912003943</v>
      </c>
      <c r="E48" s="2" t="n">
        <v>0.855428912003943</v>
      </c>
      <c r="F48" s="6" t="n">
        <f aca="false">IF(E48=0,0,D48/E48-1)</f>
        <v>0</v>
      </c>
    </row>
    <row r="49" customFormat="false" ht="15" hidden="false" customHeight="false" outlineLevel="0" collapsed="false">
      <c r="A49" s="2" t="s">
        <v>99</v>
      </c>
      <c r="B49" s="2" t="s">
        <v>100</v>
      </c>
      <c r="C49" s="2" t="s">
        <v>81</v>
      </c>
      <c r="D49" s="2" t="n">
        <f aca="false">$D$48*$D$39</f>
        <v>947.891606455944</v>
      </c>
      <c r="E49" s="2" t="n">
        <v>947.891606455944</v>
      </c>
      <c r="F49" s="6" t="n">
        <f aca="false">IF(E49=0,0,D49/E49-1)</f>
        <v>0</v>
      </c>
      <c r="G49" s="2" t="n">
        <v>947.891606455944</v>
      </c>
    </row>
    <row r="50" customFormat="false" ht="15" hidden="false" customHeight="false" outlineLevel="0" collapsed="false">
      <c r="A50" s="2" t="s">
        <v>101</v>
      </c>
      <c r="B50" s="2" t="s">
        <v>102</v>
      </c>
      <c r="C50" s="2" t="s">
        <v>68</v>
      </c>
      <c r="D50" s="2" t="n">
        <f aca="false">IF(($B$9="rolled"),$D$34-2*$B$5*$B$6+($B$7+2*$D$28)*$B$6,$D$27*$B$7)</f>
        <v>5199.07176414466</v>
      </c>
      <c r="E50" s="2" t="n">
        <v>5199.07176414466</v>
      </c>
      <c r="F50" s="6" t="n">
        <f aca="false">IF(E50=0,0,D50/E50-1)</f>
        <v>0</v>
      </c>
    </row>
    <row r="51" customFormat="false" ht="15" hidden="false" customHeight="false" outlineLevel="0" collapsed="false">
      <c r="A51" s="2" t="s">
        <v>103</v>
      </c>
      <c r="B51" s="2" t="s">
        <v>104</v>
      </c>
      <c r="C51" s="2" t="s">
        <v>105</v>
      </c>
      <c r="D51" s="2" t="n">
        <f aca="false">$D$50*$B$8/SQRT(3)/$B$14/1000</f>
        <v>1065.59834631061</v>
      </c>
      <c r="E51" s="2" t="n">
        <v>1065.59834631061</v>
      </c>
      <c r="F51" s="6" t="n">
        <f aca="false">IF(E51=0,0,D51/E51-1)</f>
        <v>0</v>
      </c>
      <c r="G51" s="2" t="n">
        <v>1065.59834631061</v>
      </c>
    </row>
    <row r="52" customFormat="false" ht="15" hidden="false" customHeight="false" outlineLevel="0" collapsed="false">
      <c r="A52" s="2" t="s">
        <v>106</v>
      </c>
      <c r="B52" s="2" t="s">
        <v>107</v>
      </c>
      <c r="C52" s="2" t="s">
        <v>105</v>
      </c>
      <c r="D52" s="2" t="n">
        <f aca="false">$B$11*$B$10/2</f>
        <v>376.115702479339</v>
      </c>
      <c r="E52" s="2" t="n">
        <v>376.115702479339</v>
      </c>
      <c r="F52" s="6" t="n">
        <f aca="false">IF(E52=0,0,D52/E52-1)</f>
        <v>0</v>
      </c>
      <c r="G52" s="2" t="n">
        <v>376.115702479339</v>
      </c>
    </row>
    <row r="53" customFormat="false" ht="15" hidden="false" customHeight="false" outlineLevel="0" collapsed="false">
      <c r="A53" s="2" t="s">
        <v>108</v>
      </c>
      <c r="B53" s="2" t="s">
        <v>109</v>
      </c>
      <c r="C53" s="2" t="s">
        <v>81</v>
      </c>
      <c r="D53" s="2" t="n">
        <f aca="false">$B$11*$B$10^2/8</f>
        <v>948.837340345605</v>
      </c>
      <c r="E53" s="2" t="n">
        <v>948.837340345605</v>
      </c>
      <c r="F53" s="6" t="n">
        <f aca="false">IF(E53=0,0,D53/E53-1)</f>
        <v>0</v>
      </c>
      <c r="G53" s="2" t="n">
        <v>948.837340345605</v>
      </c>
    </row>
    <row r="54" customFormat="false" ht="15" hidden="false" customHeight="false" outlineLevel="0" collapsed="false">
      <c r="A54" s="2" t="s">
        <v>110</v>
      </c>
      <c r="B54" s="2" t="s">
        <v>111</v>
      </c>
      <c r="C54" s="2"/>
      <c r="D54" s="2" t="n">
        <f aca="false">$D$52/$D$51</f>
        <v>0.352961980263532</v>
      </c>
      <c r="E54" s="2" t="n">
        <v>0.352961980263533</v>
      </c>
      <c r="F54" s="6" t="n">
        <f aca="false">IF(E54=0,0,D54/E54-1)</f>
        <v>0</v>
      </c>
      <c r="G54" s="2" t="n">
        <v>0.352961980263201</v>
      </c>
    </row>
    <row r="55" customFormat="false" ht="15" hidden="false" customHeight="false" outlineLevel="0" collapsed="false">
      <c r="A55" s="2" t="s">
        <v>112</v>
      </c>
      <c r="B55" s="2" t="s">
        <v>113</v>
      </c>
      <c r="C55" s="2"/>
      <c r="D55" s="2" t="n">
        <f aca="false">$D$53/$D$49</f>
        <v>1.00099772366716</v>
      </c>
      <c r="E55" s="2" t="n">
        <v>1.00099772366716</v>
      </c>
      <c r="F55" s="6" t="n">
        <f aca="false">IF(E55=0,0,D55/E55-1)</f>
        <v>0</v>
      </c>
      <c r="G55" s="2" t="n">
        <v>1.0009977236661</v>
      </c>
    </row>
    <row r="56" customFormat="false" ht="15" hidden="false" customHeight="false" outlineLevel="0" collapsed="false">
      <c r="A56" s="2" t="s">
        <v>114</v>
      </c>
      <c r="B56" s="2" t="s">
        <v>115</v>
      </c>
      <c r="C56" s="2" t="s">
        <v>13</v>
      </c>
      <c r="D56" s="2" t="n">
        <f aca="false">5*$B$11*$B$17*($B$10*1000)^4/(384*$B$12*$D$35)</f>
        <v>31.7900932317534</v>
      </c>
      <c r="E56" s="2" t="n">
        <v>31.7900932317534</v>
      </c>
      <c r="F56" s="6" t="n">
        <f aca="false">IF(E56=0,0,D56/E56-1)</f>
        <v>0</v>
      </c>
    </row>
    <row r="57" customFormat="false" ht="15" hidden="false" customHeight="false" outlineLevel="0" collapsed="false">
      <c r="A57" s="2" t="s">
        <v>116</v>
      </c>
      <c r="B57" s="2" t="s">
        <v>117</v>
      </c>
      <c r="C57" s="2"/>
      <c r="D57" s="2" t="n">
        <f aca="false">$D$56/($B$10*1000/$B$18)</f>
        <v>0.787592399885782</v>
      </c>
      <c r="E57" s="2" t="n">
        <v>0.787592399885782</v>
      </c>
      <c r="F57" s="6" t="n">
        <f aca="false">IF(E57=0,0,D57/E57-1)</f>
        <v>0</v>
      </c>
      <c r="G57" s="2" t="n">
        <v>0.787592399885782</v>
      </c>
    </row>
    <row r="58" customFormat="false" ht="15" hidden="false" customHeight="false" outlineLevel="0" collapsed="false">
      <c r="A58" s="2" t="s">
        <v>118</v>
      </c>
      <c r="B58" s="2" t="s">
        <v>119</v>
      </c>
      <c r="C58" s="2"/>
      <c r="D58" s="2" t="n">
        <f aca="false">$D$27/(86.4*$B$7*$D$26)</f>
        <v>0.873612683320048</v>
      </c>
      <c r="E58" s="2" t="n">
        <v>0.873612683320048</v>
      </c>
      <c r="F58" s="6" t="n">
        <f aca="false">IF(E58=0,0,D58/E58-1)</f>
        <v>0</v>
      </c>
    </row>
    <row r="59" customFormat="false" ht="15" hidden="false" customHeight="false" outlineLevel="0" collapsed="false">
      <c r="A59" s="2" t="s">
        <v>120</v>
      </c>
      <c r="B59" s="2" t="s">
        <v>121</v>
      </c>
      <c r="C59" s="2"/>
      <c r="D59" s="2" t="n">
        <f aca="false">$D$52/(IF($D$58&lt;0.83,1,IF($D$58&lt;1.08,0.83/$D$58,1.37/(0.7+$D$58)))*$B$8*$D$27*$B$7/SQRT(3)/1000)</f>
        <v>0.445363754374466</v>
      </c>
      <c r="E59" s="2" t="n">
        <v>0.445363754374466</v>
      </c>
      <c r="F59" s="6" t="n">
        <f aca="false">IF(E59=0,0,D59/E59-1)</f>
        <v>0</v>
      </c>
    </row>
    <row r="61" customFormat="false" ht="15" hidden="false" customHeight="false" outlineLevel="0" collapsed="false">
      <c r="A61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5" topLeftCell="A2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3" t="s">
        <v>123</v>
      </c>
    </row>
    <row r="3" customFormat="false" ht="15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</row>
    <row r="4" customFormat="false" ht="15" hidden="false" customHeight="false" outlineLevel="0" collapsed="false">
      <c r="A4" s="2" t="s">
        <v>12</v>
      </c>
      <c r="B4" s="5" t="n">
        <v>533.822363711782</v>
      </c>
      <c r="C4" s="2" t="s">
        <v>13</v>
      </c>
      <c r="D4" s="2"/>
    </row>
    <row r="5" customFormat="false" ht="15" hidden="false" customHeight="false" outlineLevel="0" collapsed="false">
      <c r="A5" s="2" t="s">
        <v>14</v>
      </c>
      <c r="B5" s="5" t="n">
        <v>267.823874285118</v>
      </c>
      <c r="C5" s="2" t="s">
        <v>13</v>
      </c>
      <c r="D5" s="2"/>
    </row>
    <row r="6" customFormat="false" ht="15" hidden="false" customHeight="false" outlineLevel="0" collapsed="false">
      <c r="A6" s="2" t="s">
        <v>15</v>
      </c>
      <c r="B6" s="5" t="n">
        <v>14.1233028586446</v>
      </c>
      <c r="C6" s="2" t="s">
        <v>13</v>
      </c>
      <c r="D6" s="2"/>
    </row>
    <row r="7" customFormat="false" ht="15" hidden="false" customHeight="false" outlineLevel="0" collapsed="false">
      <c r="A7" s="2" t="s">
        <v>16</v>
      </c>
      <c r="B7" s="5" t="n">
        <v>6.5695727618687</v>
      </c>
      <c r="C7" s="2" t="s">
        <v>13</v>
      </c>
      <c r="D7" s="2"/>
    </row>
    <row r="8" customFormat="false" ht="15" hidden="false" customHeight="false" outlineLevel="0" collapsed="false">
      <c r="A8" s="2" t="s">
        <v>17</v>
      </c>
      <c r="B8" s="5" t="n">
        <v>550</v>
      </c>
      <c r="C8" s="2" t="s">
        <v>18</v>
      </c>
      <c r="D8" s="2"/>
    </row>
    <row r="9" customFormat="false" ht="15" hidden="false" customHeight="false" outlineLevel="0" collapsed="false">
      <c r="A9" s="2" t="s">
        <v>19</v>
      </c>
      <c r="B9" s="5" t="s">
        <v>20</v>
      </c>
      <c r="C9" s="2"/>
      <c r="D9" s="2" t="s">
        <v>21</v>
      </c>
    </row>
    <row r="10" customFormat="false" ht="15" hidden="false" customHeight="false" outlineLevel="0" collapsed="false">
      <c r="A10" s="2" t="s">
        <v>22</v>
      </c>
      <c r="B10" s="5" t="n">
        <v>10.0909090909091</v>
      </c>
      <c r="C10" s="2" t="s">
        <v>23</v>
      </c>
      <c r="D10" s="2"/>
    </row>
    <row r="11" customFormat="false" ht="15" hidden="false" customHeight="false" outlineLevel="0" collapsed="false">
      <c r="A11" s="2" t="s">
        <v>24</v>
      </c>
      <c r="B11" s="5" t="n">
        <v>74.5454545454545</v>
      </c>
      <c r="C11" s="2" t="s">
        <v>25</v>
      </c>
      <c r="D11" s="2"/>
    </row>
    <row r="12" customFormat="false" ht="15" hidden="false" customHeight="false" outlineLevel="0" collapsed="false">
      <c r="A12" s="2" t="s">
        <v>26</v>
      </c>
      <c r="B12" s="5" t="n">
        <v>210000</v>
      </c>
      <c r="C12" s="2" t="s">
        <v>18</v>
      </c>
      <c r="D12" s="2"/>
    </row>
    <row r="13" customFormat="false" ht="15" hidden="false" customHeight="false" outlineLevel="0" collapsed="false">
      <c r="A13" s="2" t="s">
        <v>27</v>
      </c>
      <c r="B13" s="5" t="n">
        <v>81000</v>
      </c>
      <c r="C13" s="2" t="s">
        <v>18</v>
      </c>
      <c r="D13" s="2"/>
    </row>
    <row r="14" customFormat="false" ht="15" hidden="false" customHeight="false" outlineLevel="0" collapsed="false">
      <c r="A14" s="2" t="s">
        <v>28</v>
      </c>
      <c r="B14" s="5" t="n">
        <v>1</v>
      </c>
      <c r="C14" s="2"/>
      <c r="D14" s="2"/>
    </row>
    <row r="15" customFormat="false" ht="15" hidden="false" customHeight="false" outlineLevel="0" collapsed="false">
      <c r="A15" s="2" t="s">
        <v>29</v>
      </c>
      <c r="B15" s="5" t="n">
        <v>0.4</v>
      </c>
      <c r="C15" s="2"/>
      <c r="D15" s="2" t="s">
        <v>30</v>
      </c>
    </row>
    <row r="16" customFormat="false" ht="15" hidden="false" customHeight="false" outlineLevel="0" collapsed="false">
      <c r="A16" s="2" t="s">
        <v>31</v>
      </c>
      <c r="B16" s="5" t="n">
        <v>1.13</v>
      </c>
      <c r="C16" s="2"/>
      <c r="D16" s="2" t="s">
        <v>32</v>
      </c>
    </row>
    <row r="17" customFormat="false" ht="15" hidden="false" customHeight="false" outlineLevel="0" collapsed="false">
      <c r="A17" s="2" t="s">
        <v>33</v>
      </c>
      <c r="B17" s="5" t="n">
        <v>0.5</v>
      </c>
      <c r="C17" s="2"/>
      <c r="D17" s="2" t="s">
        <v>34</v>
      </c>
    </row>
    <row r="18" customFormat="false" ht="15" hidden="false" customHeight="false" outlineLevel="0" collapsed="false">
      <c r="A18" s="2" t="s">
        <v>35</v>
      </c>
      <c r="B18" s="5" t="n">
        <v>250</v>
      </c>
      <c r="C18" s="2"/>
      <c r="D18" s="2" t="s">
        <v>36</v>
      </c>
    </row>
    <row r="19" customFormat="false" ht="15" hidden="false" customHeight="false" outlineLevel="0" collapsed="false">
      <c r="A19" s="2" t="s">
        <v>37</v>
      </c>
      <c r="B19" s="5" t="n">
        <v>1.05</v>
      </c>
      <c r="C19" s="2"/>
      <c r="D19" s="2" t="s">
        <v>38</v>
      </c>
    </row>
    <row r="20" customFormat="false" ht="15" hidden="false" customHeight="false" outlineLevel="0" collapsed="false">
      <c r="A20" s="2" t="s">
        <v>39</v>
      </c>
      <c r="B20" s="5" t="n">
        <v>1.02</v>
      </c>
      <c r="C20" s="2"/>
      <c r="D20" s="2" t="s">
        <v>40</v>
      </c>
    </row>
    <row r="21" customFormat="false" ht="15" hidden="false" customHeight="false" outlineLevel="0" collapsed="false">
      <c r="A21" s="2" t="s">
        <v>41</v>
      </c>
      <c r="B21" s="5" t="n">
        <v>1.15</v>
      </c>
      <c r="C21" s="2"/>
      <c r="D21" s="2" t="s">
        <v>40</v>
      </c>
    </row>
    <row r="22" customFormat="false" ht="15" hidden="false" customHeight="false" outlineLevel="0" collapsed="false">
      <c r="A22" s="2" t="s">
        <v>42</v>
      </c>
      <c r="B22" s="5" t="n">
        <v>0.1</v>
      </c>
      <c r="C22" s="2"/>
      <c r="D22" s="2" t="s">
        <v>40</v>
      </c>
    </row>
    <row r="25" customFormat="false" ht="15" hidden="false" customHeight="false" outlineLevel="0" collapsed="false">
      <c r="A25" s="4" t="s">
        <v>43</v>
      </c>
      <c r="B25" s="4" t="s">
        <v>44</v>
      </c>
      <c r="C25" s="4" t="s">
        <v>10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/>
      <c r="D26" s="2" t="n">
        <f aca="false">SQRT(235/$B$8)</f>
        <v>0.653661018627184</v>
      </c>
      <c r="E26" s="2" t="n">
        <v>0.653661018627184</v>
      </c>
      <c r="F26" s="6" t="n">
        <f aca="false">IF(E26=0,0,D26/E26-1)</f>
        <v>0</v>
      </c>
    </row>
    <row r="27" customFormat="false" ht="15" hidden="false" customHeight="false" outlineLevel="0" collapsed="false">
      <c r="A27" s="2" t="s">
        <v>52</v>
      </c>
      <c r="B27" s="2" t="s">
        <v>53</v>
      </c>
      <c r="C27" s="2" t="s">
        <v>13</v>
      </c>
      <c r="D27" s="2" t="n">
        <f aca="false">$B$4-2*$B$6</f>
        <v>505.575757994493</v>
      </c>
      <c r="E27" s="2" t="n">
        <v>505.575757994493</v>
      </c>
      <c r="F27" s="6" t="n">
        <f aca="false">IF(E27=0,0,D27/E27-1)</f>
        <v>0</v>
      </c>
    </row>
    <row r="28" customFormat="false" ht="15" hidden="false" customHeight="false" outlineLevel="0" collapsed="false">
      <c r="A28" s="2" t="s">
        <v>54</v>
      </c>
      <c r="B28" s="2" t="s">
        <v>55</v>
      </c>
      <c r="C28" s="2" t="s">
        <v>13</v>
      </c>
      <c r="D28" s="2" t="n">
        <f aca="false">IF(($B$9="rolled"),$B$22*$B$6,0)</f>
        <v>1.41233028586446</v>
      </c>
      <c r="E28" s="2" t="n">
        <v>1.41233028586446</v>
      </c>
      <c r="F28" s="6" t="n">
        <f aca="false">IF(E28=0,0,D28/E28-1)</f>
        <v>0</v>
      </c>
    </row>
    <row r="29" customFormat="false" ht="15" hidden="false" customHeight="false" outlineLevel="0" collapsed="false">
      <c r="A29" s="2" t="s">
        <v>56</v>
      </c>
      <c r="B29" s="2" t="s">
        <v>57</v>
      </c>
      <c r="C29" s="2" t="s">
        <v>13</v>
      </c>
      <c r="D29" s="2" t="n">
        <f aca="false">($B$5-$B$7)/2-$D$28</f>
        <v>129.21482047576</v>
      </c>
      <c r="E29" s="2" t="n">
        <v>129.21482047576</v>
      </c>
      <c r="F29" s="6" t="n">
        <f aca="false">IF(E29=0,0,D29/E29-1)</f>
        <v>0</v>
      </c>
    </row>
    <row r="30" customFormat="false" ht="15" hidden="false" customHeight="false" outlineLevel="0" collapsed="false">
      <c r="A30" s="2" t="s">
        <v>58</v>
      </c>
      <c r="B30" s="2" t="s">
        <v>59</v>
      </c>
      <c r="C30" s="2" t="s">
        <v>13</v>
      </c>
      <c r="D30" s="2" t="n">
        <f aca="false">$D$27-2*$D$28</f>
        <v>502.751097422764</v>
      </c>
      <c r="E30" s="2" t="n">
        <v>502.751097422764</v>
      </c>
      <c r="F30" s="6" t="n">
        <f aca="false">IF(E30=0,0,D30/E30-1)</f>
        <v>0</v>
      </c>
    </row>
    <row r="31" customFormat="false" ht="15" hidden="false" customHeight="false" outlineLevel="0" collapsed="false">
      <c r="A31" s="2" t="s">
        <v>60</v>
      </c>
      <c r="B31" s="2" t="s">
        <v>61</v>
      </c>
      <c r="C31" s="2"/>
      <c r="D31" s="2" t="n">
        <f aca="false">$D$29/($B$6*$D$26)</f>
        <v>13.9966296054237</v>
      </c>
      <c r="E31" s="2" t="n">
        <v>13.9966296054237</v>
      </c>
      <c r="F31" s="6" t="n">
        <f aca="false">IF(E31=0,0,D31/E31-1)</f>
        <v>0</v>
      </c>
    </row>
    <row r="32" customFormat="false" ht="15" hidden="false" customHeight="false" outlineLevel="0" collapsed="false">
      <c r="A32" s="2" t="s">
        <v>62</v>
      </c>
      <c r="B32" s="2" t="s">
        <v>63</v>
      </c>
      <c r="C32" s="2"/>
      <c r="D32" s="2" t="n">
        <f aca="false">$D$30/($B$7*$D$26)</f>
        <v>117.074770148599</v>
      </c>
      <c r="E32" s="2" t="n">
        <v>117.074770148599</v>
      </c>
      <c r="F32" s="6" t="n">
        <f aca="false">IF(E32=0,0,D32/E32-1)</f>
        <v>0</v>
      </c>
    </row>
    <row r="33" customFormat="false" ht="15" hidden="false" customHeight="false" outlineLevel="0" collapsed="false">
      <c r="A33" s="2" t="s">
        <v>64</v>
      </c>
      <c r="B33" s="2" t="s">
        <v>65</v>
      </c>
      <c r="C33" s="2"/>
      <c r="D33" s="2" t="n">
        <f aca="false">IF(AND($D$31&lt;=9,$D$32&lt;=72),1,IF(AND($D$31&lt;=10,$D$32&lt;=83),2,IF(AND($D$31&lt;=14,$D$32&lt;=124),3,4)))</f>
        <v>3</v>
      </c>
      <c r="E33" s="2" t="n">
        <v>3</v>
      </c>
      <c r="F33" s="6" t="n">
        <f aca="false">IF(E33=0,0,D33/E33-1)</f>
        <v>0</v>
      </c>
      <c r="G33" s="2" t="n">
        <v>3</v>
      </c>
    </row>
    <row r="34" customFormat="false" ht="15" hidden="false" customHeight="false" outlineLevel="0" collapsed="false">
      <c r="A34" s="2" t="s">
        <v>66</v>
      </c>
      <c r="B34" s="2" t="s">
        <v>67</v>
      </c>
      <c r="C34" s="2" t="s">
        <v>68</v>
      </c>
      <c r="D34" s="2" t="n">
        <f aca="false">($D$27*$B$7+2*$B$5*$B$6)*IF(($B$9="rolled"),$B$19,1)</f>
        <v>11430.8587127598</v>
      </c>
      <c r="E34" s="2" t="n">
        <v>11430.8587127598</v>
      </c>
      <c r="F34" s="6" t="n">
        <f aca="false">IF(E34=0,0,D34/E34-1)</f>
        <v>0</v>
      </c>
    </row>
    <row r="35" customFormat="false" ht="15" hidden="false" customHeight="false" outlineLevel="0" collapsed="false">
      <c r="A35" s="2" t="s">
        <v>69</v>
      </c>
      <c r="B35" s="2" t="s">
        <v>70</v>
      </c>
      <c r="C35" s="2" t="s">
        <v>71</v>
      </c>
      <c r="D35" s="2" t="n">
        <f aca="false">($B$7*$D$27^3/12+2*($B$5*$B$6^3/12+$B$5*$B$6*($B$4/2-$B$6/2)^2))*IF(($B$9="rolled"),$B$20,1)</f>
        <v>593317543.114736</v>
      </c>
      <c r="E35" s="2" t="n">
        <v>593317543.114736</v>
      </c>
      <c r="F35" s="6" t="n">
        <f aca="false">IF(E35=0,0,D35/E35-1)</f>
        <v>0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74</v>
      </c>
      <c r="D36" s="2" t="n">
        <f aca="false">$D$35/($B$4/2)</f>
        <v>2222902.53630167</v>
      </c>
      <c r="E36" s="2" t="n">
        <v>2222902.53630167</v>
      </c>
      <c r="F36" s="6" t="n">
        <f aca="false">IF(E36=0,0,D36/E36-1)</f>
        <v>0</v>
      </c>
    </row>
    <row r="37" customFormat="false" ht="15" hidden="false" customHeight="false" outlineLevel="0" collapsed="false">
      <c r="A37" s="2" t="s">
        <v>75</v>
      </c>
      <c r="B37" s="2" t="s">
        <v>76</v>
      </c>
      <c r="C37" s="2" t="s">
        <v>74</v>
      </c>
      <c r="D37" s="2" t="n">
        <f aca="false">(2*$B$5*$B$6*($B$4/2-$B$6/2)+$B$7*$D$27^2/4)*IF(($B$9="rolled"),$B$19,1)</f>
        <v>2504878.55501269</v>
      </c>
      <c r="E37" s="2" t="n">
        <v>2504878.55501269</v>
      </c>
      <c r="F37" s="6" t="n">
        <f aca="false">IF(E37=0,0,D37/E37-1)</f>
        <v>0</v>
      </c>
    </row>
    <row r="38" customFormat="false" ht="15" hidden="false" customHeight="false" outlineLevel="0" collapsed="false">
      <c r="A38" s="2" t="s">
        <v>77</v>
      </c>
      <c r="B38" s="2" t="s">
        <v>78</v>
      </c>
      <c r="C38" s="2" t="s">
        <v>71</v>
      </c>
      <c r="D38" s="2" t="n">
        <f aca="false">2*$B$6*$B$5^3/12+$D$27*$B$7^3/12</f>
        <v>45232188.2595542</v>
      </c>
      <c r="E38" s="2" t="n">
        <v>45232188.2595542</v>
      </c>
      <c r="F38" s="6" t="n">
        <f aca="false">IF(E38=0,0,D38/E38-1)</f>
        <v>0</v>
      </c>
    </row>
    <row r="39" customFormat="false" ht="15" hidden="false" customHeight="false" outlineLevel="0" collapsed="false">
      <c r="A39" s="2" t="s">
        <v>79</v>
      </c>
      <c r="B39" s="2" t="s">
        <v>80</v>
      </c>
      <c r="C39" s="2" t="s">
        <v>81</v>
      </c>
      <c r="D39" s="2" t="n">
        <f aca="false">IF($D$33&lt;=2,$D$37,$D$36)*$B$8/$B$14/1000000</f>
        <v>1222.59639496592</v>
      </c>
      <c r="E39" s="2" t="n">
        <v>1222.59639496592</v>
      </c>
      <c r="F39" s="6" t="n">
        <f aca="false">IF(E39=0,0,D39/E39-1)</f>
        <v>0</v>
      </c>
    </row>
    <row r="40" customFormat="false" ht="15" hidden="false" customHeight="false" outlineLevel="0" collapsed="false">
      <c r="A40" s="2" t="s">
        <v>82</v>
      </c>
      <c r="B40" s="2" t="s">
        <v>83</v>
      </c>
      <c r="C40" s="2" t="s">
        <v>71</v>
      </c>
      <c r="D40" s="2" t="n">
        <f aca="false">(2*$B$5*$B$6^3+$D$27*$B$7^3)/3*IF(($B$9="rolled"),$B$21,1)</f>
        <v>633399.306305349</v>
      </c>
      <c r="E40" s="2" t="n">
        <v>633399.306305349</v>
      </c>
      <c r="F40" s="6" t="n">
        <f aca="false">IF(E40=0,0,D40/E40-1)</f>
        <v>0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2" t="s">
        <v>86</v>
      </c>
      <c r="D41" s="2" t="n">
        <f aca="false">$D$38*($B$4-$B$6)^2/4</f>
        <v>3054157795054.18</v>
      </c>
      <c r="E41" s="2" t="n">
        <v>3054157795054.18</v>
      </c>
      <c r="F41" s="6" t="n">
        <f aca="false">IF(E41=0,0,D41/E41-1)</f>
        <v>0</v>
      </c>
    </row>
    <row r="42" customFormat="false" ht="15" hidden="false" customHeight="false" outlineLevel="0" collapsed="false">
      <c r="A42" s="2" t="s">
        <v>87</v>
      </c>
      <c r="B42" s="2" t="s">
        <v>88</v>
      </c>
      <c r="C42" s="2" t="s">
        <v>13</v>
      </c>
      <c r="D42" s="2" t="n">
        <f aca="false">$B$15*$B$10*1000</f>
        <v>4036.36363636364</v>
      </c>
      <c r="E42" s="2" t="n">
        <v>4036.36363636364</v>
      </c>
      <c r="F42" s="6" t="n">
        <f aca="false">IF(E42=0,0,D42/E42-1)</f>
        <v>0</v>
      </c>
    </row>
    <row r="43" customFormat="false" ht="15" hidden="false" customHeight="false" outlineLevel="0" collapsed="false">
      <c r="A43" s="2" t="s">
        <v>31</v>
      </c>
      <c r="B43" s="2" t="s">
        <v>31</v>
      </c>
      <c r="C43" s="2"/>
      <c r="D43" s="2" t="n">
        <f aca="false">$B$16</f>
        <v>1.13</v>
      </c>
      <c r="E43" s="2" t="n">
        <v>1.13</v>
      </c>
      <c r="F43" s="6" t="n">
        <f aca="false">IF(E43=0,0,D43/E43-1)</f>
        <v>0</v>
      </c>
    </row>
    <row r="44" customFormat="false" ht="15" hidden="false" customHeight="false" outlineLevel="0" collapsed="false">
      <c r="A44" s="2" t="s">
        <v>89</v>
      </c>
      <c r="B44" s="2" t="s">
        <v>90</v>
      </c>
      <c r="C44" s="2" t="s">
        <v>81</v>
      </c>
      <c r="D44" s="2" t="n">
        <f aca="false">$D$43*PI()^2*$B$12*$D$38/$D$42^2*SQRT($D$41/$D$38+$D$42^2*$B$13*$D$40/(PI()^2*$B$12*$D$38))/1000000</f>
        <v>1797.707036071</v>
      </c>
      <c r="E44" s="2" t="n">
        <v>1797.707036071</v>
      </c>
      <c r="F44" s="6" t="n">
        <f aca="false">IF(E44=0,0,D44/E44-1)</f>
        <v>0</v>
      </c>
    </row>
    <row r="45" customFormat="false" ht="15" hidden="false" customHeight="false" outlineLevel="0" collapsed="false">
      <c r="A45" s="2" t="s">
        <v>91</v>
      </c>
      <c r="B45" s="2" t="s">
        <v>92</v>
      </c>
      <c r="C45" s="2"/>
      <c r="D45" s="2" t="n">
        <f aca="false">SQRT(IF($D$33&lt;=2,$D$37,$D$36)*$B$8/1000000/$D$44)</f>
        <v>0.82467360847178</v>
      </c>
      <c r="E45" s="2" t="n">
        <v>0.82467360847178</v>
      </c>
      <c r="F45" s="6" t="n">
        <f aca="false">IF(E45=0,0,D45/E45-1)</f>
        <v>0</v>
      </c>
      <c r="G45" s="2" t="n">
        <v>0.82467360847178</v>
      </c>
    </row>
    <row r="46" customFormat="false" ht="15" hidden="false" customHeight="false" outlineLevel="0" collapsed="false">
      <c r="A46" s="2" t="s">
        <v>93</v>
      </c>
      <c r="B46" s="2" t="s">
        <v>94</v>
      </c>
      <c r="C46" s="2"/>
      <c r="D46" s="2" t="n">
        <f aca="false">IF(($B$9="rolled"),IF($B$4/$B$5&gt;2,0.34,0.21),IF($B$4/$B$5&gt;2,0.76,0.49))</f>
        <v>0.21</v>
      </c>
      <c r="E46" s="2" t="n">
        <v>0.21</v>
      </c>
      <c r="F46" s="6" t="n">
        <f aca="false">IF(E46=0,0,D46/E46-1)</f>
        <v>0</v>
      </c>
    </row>
    <row r="47" customFormat="false" ht="15" hidden="false" customHeight="false" outlineLevel="0" collapsed="false">
      <c r="A47" s="2" t="s">
        <v>95</v>
      </c>
      <c r="B47" s="2" t="s">
        <v>96</v>
      </c>
      <c r="C47" s="2"/>
      <c r="D47" s="2" t="n">
        <f aca="false">0.5*(1+$D$46*($D$45-0.2)+$D$45^2)</f>
        <v>0.90563400914447</v>
      </c>
      <c r="E47" s="2" t="n">
        <v>0.90563400914447</v>
      </c>
      <c r="F47" s="6" t="n">
        <f aca="false">IF(E47=0,0,D47/E47-1)</f>
        <v>0</v>
      </c>
    </row>
    <row r="48" customFormat="false" ht="15" hidden="false" customHeight="false" outlineLevel="0" collapsed="false">
      <c r="A48" s="2" t="s">
        <v>97</v>
      </c>
      <c r="B48" s="2" t="s">
        <v>98</v>
      </c>
      <c r="C48" s="2"/>
      <c r="D48" s="2" t="n">
        <f aca="false">MIN(1,1/($D$47+SQRT($D$47^2-$D$45^2)))</f>
        <v>0.78130177087977</v>
      </c>
      <c r="E48" s="2" t="n">
        <v>0.78130177087977</v>
      </c>
      <c r="F48" s="6" t="n">
        <f aca="false">IF(E48=0,0,D48/E48-1)</f>
        <v>0</v>
      </c>
    </row>
    <row r="49" customFormat="false" ht="15" hidden="false" customHeight="false" outlineLevel="0" collapsed="false">
      <c r="A49" s="2" t="s">
        <v>99</v>
      </c>
      <c r="B49" s="2" t="s">
        <v>100</v>
      </c>
      <c r="C49" s="2" t="s">
        <v>81</v>
      </c>
      <c r="D49" s="2" t="n">
        <f aca="false">$D$48*$D$39</f>
        <v>955.216728458092</v>
      </c>
      <c r="E49" s="2" t="n">
        <v>955.216728458092</v>
      </c>
      <c r="F49" s="6" t="n">
        <f aca="false">IF(E49=0,0,D49/E49-1)</f>
        <v>0</v>
      </c>
      <c r="G49" s="2" t="n">
        <v>955.216728458092</v>
      </c>
    </row>
    <row r="50" customFormat="false" ht="15" hidden="false" customHeight="false" outlineLevel="0" collapsed="false">
      <c r="A50" s="2" t="s">
        <v>101</v>
      </c>
      <c r="B50" s="2" t="s">
        <v>102</v>
      </c>
      <c r="C50" s="2" t="s">
        <v>68</v>
      </c>
      <c r="D50" s="2" t="n">
        <f aca="false">IF(($B$9="rolled"),$D$34-2*$B$5*$B$6+($B$7+2*$D$28)*$B$6,$D$27*$B$7)</f>
        <v>3998.42093664643</v>
      </c>
      <c r="E50" s="2" t="n">
        <v>3998.42093664644</v>
      </c>
      <c r="F50" s="6" t="n">
        <f aca="false">IF(E50=0,0,D50/E50-1)</f>
        <v>0</v>
      </c>
    </row>
    <row r="51" customFormat="false" ht="15" hidden="false" customHeight="false" outlineLevel="0" collapsed="false">
      <c r="A51" s="2" t="s">
        <v>103</v>
      </c>
      <c r="B51" s="2" t="s">
        <v>104</v>
      </c>
      <c r="C51" s="2" t="s">
        <v>105</v>
      </c>
      <c r="D51" s="2" t="n">
        <f aca="false">$D$50*$B$8/SQRT(3)/$B$14/1000</f>
        <v>1269.66917225844</v>
      </c>
      <c r="E51" s="2" t="n">
        <v>1269.66917225844</v>
      </c>
      <c r="F51" s="6" t="n">
        <f aca="false">IF(E51=0,0,D51/E51-1)</f>
        <v>0</v>
      </c>
      <c r="G51" s="2" t="n">
        <v>1269.66917225844</v>
      </c>
    </row>
    <row r="52" customFormat="false" ht="15" hidden="false" customHeight="false" outlineLevel="0" collapsed="false">
      <c r="A52" s="2" t="s">
        <v>106</v>
      </c>
      <c r="B52" s="2" t="s">
        <v>107</v>
      </c>
      <c r="C52" s="2" t="s">
        <v>105</v>
      </c>
      <c r="D52" s="2" t="n">
        <f aca="false">$B$11*$B$10/2</f>
        <v>376.115702479339</v>
      </c>
      <c r="E52" s="2" t="n">
        <v>376.115702479339</v>
      </c>
      <c r="F52" s="6" t="n">
        <f aca="false">IF(E52=0,0,D52/E52-1)</f>
        <v>0</v>
      </c>
      <c r="G52" s="2" t="n">
        <v>376.115702479339</v>
      </c>
    </row>
    <row r="53" customFormat="false" ht="15" hidden="false" customHeight="false" outlineLevel="0" collapsed="false">
      <c r="A53" s="2" t="s">
        <v>108</v>
      </c>
      <c r="B53" s="2" t="s">
        <v>109</v>
      </c>
      <c r="C53" s="2" t="s">
        <v>81</v>
      </c>
      <c r="D53" s="2" t="n">
        <f aca="false">$B$11*$B$10^2/8</f>
        <v>948.837340345605</v>
      </c>
      <c r="E53" s="2" t="n">
        <v>948.837340345605</v>
      </c>
      <c r="F53" s="6" t="n">
        <f aca="false">IF(E53=0,0,D53/E53-1)</f>
        <v>0</v>
      </c>
      <c r="G53" s="2" t="n">
        <v>948.837340345605</v>
      </c>
    </row>
    <row r="54" customFormat="false" ht="15" hidden="false" customHeight="false" outlineLevel="0" collapsed="false">
      <c r="A54" s="2" t="s">
        <v>110</v>
      </c>
      <c r="B54" s="2" t="s">
        <v>111</v>
      </c>
      <c r="C54" s="2"/>
      <c r="D54" s="2" t="n">
        <f aca="false">$D$52/$D$51</f>
        <v>0.296231262991381</v>
      </c>
      <c r="E54" s="2" t="n">
        <v>0.296231262991381</v>
      </c>
      <c r="F54" s="6" t="n">
        <f aca="false">IF(E54=0,0,D54/E54-1)</f>
        <v>0</v>
      </c>
      <c r="G54" s="2" t="n">
        <v>0.296231262991148</v>
      </c>
    </row>
    <row r="55" customFormat="false" ht="15" hidden="false" customHeight="false" outlineLevel="0" collapsed="false">
      <c r="A55" s="2" t="s">
        <v>112</v>
      </c>
      <c r="B55" s="2" t="s">
        <v>113</v>
      </c>
      <c r="C55" s="2"/>
      <c r="D55" s="2" t="n">
        <f aca="false">$D$53/$D$49</f>
        <v>0.993321528065379</v>
      </c>
      <c r="E55" s="2" t="n">
        <v>0.993321528065379</v>
      </c>
      <c r="F55" s="6" t="n">
        <f aca="false">IF(E55=0,0,D55/E55-1)</f>
        <v>0</v>
      </c>
      <c r="G55" s="2" t="n">
        <v>0.993321528064339</v>
      </c>
    </row>
    <row r="56" customFormat="false" ht="15" hidden="false" customHeight="false" outlineLevel="0" collapsed="false">
      <c r="A56" s="2" t="s">
        <v>114</v>
      </c>
      <c r="B56" s="2" t="s">
        <v>115</v>
      </c>
      <c r="C56" s="2" t="s">
        <v>13</v>
      </c>
      <c r="D56" s="2" t="n">
        <f aca="false">5*$B$11*$B$17*($B$10*1000)^4/(384*$B$12*$D$35)</f>
        <v>40.3872833773919</v>
      </c>
      <c r="E56" s="2" t="n">
        <v>40.3872833773919</v>
      </c>
      <c r="F56" s="6" t="n">
        <f aca="false">IF(E56=0,0,D56/E56-1)</f>
        <v>0</v>
      </c>
    </row>
    <row r="57" customFormat="false" ht="15" hidden="false" customHeight="false" outlineLevel="0" collapsed="false">
      <c r="A57" s="2" t="s">
        <v>116</v>
      </c>
      <c r="B57" s="2" t="s">
        <v>117</v>
      </c>
      <c r="C57" s="2"/>
      <c r="D57" s="2" t="n">
        <f aca="false">$D$56/($B$10*1000/$B$18)</f>
        <v>1.00058584943989</v>
      </c>
      <c r="E57" s="2" t="n">
        <v>1.00058584943989</v>
      </c>
      <c r="F57" s="6" t="n">
        <f aca="false">IF(E57=0,0,D57/E57-1)</f>
        <v>0</v>
      </c>
      <c r="G57" s="2" t="n">
        <v>1.00058584943989</v>
      </c>
    </row>
    <row r="58" customFormat="false" ht="15" hidden="false" customHeight="false" outlineLevel="0" collapsed="false">
      <c r="A58" s="2" t="s">
        <v>118</v>
      </c>
      <c r="B58" s="2" t="s">
        <v>119</v>
      </c>
      <c r="C58" s="2"/>
      <c r="D58" s="2" t="n">
        <f aca="false">$D$27/(86.4*$B$7*$D$26)</f>
        <v>1.36264518429966</v>
      </c>
      <c r="E58" s="2" t="n">
        <v>1.36264518429966</v>
      </c>
      <c r="F58" s="6" t="n">
        <f aca="false">IF(E58=0,0,D58/E58-1)</f>
        <v>0</v>
      </c>
    </row>
    <row r="59" customFormat="false" ht="15" hidden="false" customHeight="false" outlineLevel="0" collapsed="false">
      <c r="A59" s="2" t="s">
        <v>120</v>
      </c>
      <c r="B59" s="2" t="s">
        <v>121</v>
      </c>
      <c r="C59" s="2"/>
      <c r="D59" s="2" t="n">
        <f aca="false">$D$52/(IF($D$58&lt;0.83,1,IF($D$58&lt;1.08,0.83/$D$58,1.37/(0.7+$D$58)))*$B$8*$D$27*$B$7/SQRT(3)/1000)</f>
        <v>0.536908147480894</v>
      </c>
      <c r="E59" s="2" t="n">
        <v>0.536908147480894</v>
      </c>
      <c r="F59" s="6" t="n">
        <f aca="false">IF(E59=0,0,D59/E59-1)</f>
        <v>0</v>
      </c>
    </row>
    <row r="61" customFormat="false" ht="15" hidden="false" customHeight="false" outlineLevel="0" collapsed="false">
      <c r="A61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5" topLeftCell="A2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3" t="s">
        <v>124</v>
      </c>
    </row>
    <row r="3" customFormat="false" ht="15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</row>
    <row r="4" customFormat="false" ht="15" hidden="false" customHeight="false" outlineLevel="0" collapsed="false">
      <c r="A4" s="2" t="s">
        <v>12</v>
      </c>
      <c r="B4" s="5" t="n">
        <v>548.679764876384</v>
      </c>
      <c r="C4" s="2" t="s">
        <v>13</v>
      </c>
      <c r="D4" s="2"/>
    </row>
    <row r="5" customFormat="false" ht="15" hidden="false" customHeight="false" outlineLevel="0" collapsed="false">
      <c r="A5" s="2" t="s">
        <v>14</v>
      </c>
      <c r="B5" s="5" t="n">
        <v>249.696033122667</v>
      </c>
      <c r="C5" s="2" t="s">
        <v>13</v>
      </c>
      <c r="D5" s="2"/>
    </row>
    <row r="6" customFormat="false" ht="15" hidden="false" customHeight="false" outlineLevel="0" collapsed="false">
      <c r="A6" s="2" t="s">
        <v>15</v>
      </c>
      <c r="B6" s="5" t="n">
        <v>14.9514617464453</v>
      </c>
      <c r="C6" s="2" t="s">
        <v>13</v>
      </c>
      <c r="D6" s="2"/>
    </row>
    <row r="7" customFormat="false" ht="15" hidden="false" customHeight="false" outlineLevel="0" collapsed="false">
      <c r="A7" s="2" t="s">
        <v>16</v>
      </c>
      <c r="B7" s="5" t="n">
        <v>7.15932805815055</v>
      </c>
      <c r="C7" s="2" t="s">
        <v>13</v>
      </c>
      <c r="D7" s="2"/>
    </row>
    <row r="8" customFormat="false" ht="15" hidden="false" customHeight="false" outlineLevel="0" collapsed="false">
      <c r="A8" s="2" t="s">
        <v>17</v>
      </c>
      <c r="B8" s="5" t="n">
        <v>690</v>
      </c>
      <c r="C8" s="2" t="s">
        <v>18</v>
      </c>
      <c r="D8" s="2"/>
    </row>
    <row r="9" customFormat="false" ht="15" hidden="false" customHeight="false" outlineLevel="0" collapsed="false">
      <c r="A9" s="2" t="s">
        <v>19</v>
      </c>
      <c r="B9" s="5" t="s">
        <v>20</v>
      </c>
      <c r="C9" s="2"/>
      <c r="D9" s="2" t="s">
        <v>21</v>
      </c>
    </row>
    <row r="10" customFormat="false" ht="15" hidden="false" customHeight="false" outlineLevel="0" collapsed="false">
      <c r="A10" s="2" t="s">
        <v>22</v>
      </c>
      <c r="B10" s="5" t="n">
        <v>10.0909090909091</v>
      </c>
      <c r="C10" s="2" t="s">
        <v>23</v>
      </c>
      <c r="D10" s="2"/>
    </row>
    <row r="11" customFormat="false" ht="15" hidden="false" customHeight="false" outlineLevel="0" collapsed="false">
      <c r="A11" s="2" t="s">
        <v>24</v>
      </c>
      <c r="B11" s="5" t="n">
        <v>74.5454545454545</v>
      </c>
      <c r="C11" s="2" t="s">
        <v>25</v>
      </c>
      <c r="D11" s="2"/>
    </row>
    <row r="12" customFormat="false" ht="15" hidden="false" customHeight="false" outlineLevel="0" collapsed="false">
      <c r="A12" s="2" t="s">
        <v>26</v>
      </c>
      <c r="B12" s="5" t="n">
        <v>210000</v>
      </c>
      <c r="C12" s="2" t="s">
        <v>18</v>
      </c>
      <c r="D12" s="2"/>
    </row>
    <row r="13" customFormat="false" ht="15" hidden="false" customHeight="false" outlineLevel="0" collapsed="false">
      <c r="A13" s="2" t="s">
        <v>27</v>
      </c>
      <c r="B13" s="5" t="n">
        <v>81000</v>
      </c>
      <c r="C13" s="2" t="s">
        <v>18</v>
      </c>
      <c r="D13" s="2"/>
    </row>
    <row r="14" customFormat="false" ht="15" hidden="false" customHeight="false" outlineLevel="0" collapsed="false">
      <c r="A14" s="2" t="s">
        <v>28</v>
      </c>
      <c r="B14" s="5" t="n">
        <v>1</v>
      </c>
      <c r="C14" s="2"/>
      <c r="D14" s="2"/>
    </row>
    <row r="15" customFormat="false" ht="15" hidden="false" customHeight="false" outlineLevel="0" collapsed="false">
      <c r="A15" s="2" t="s">
        <v>29</v>
      </c>
      <c r="B15" s="5" t="n">
        <v>0.4</v>
      </c>
      <c r="C15" s="2"/>
      <c r="D15" s="2" t="s">
        <v>30</v>
      </c>
    </row>
    <row r="16" customFormat="false" ht="15" hidden="false" customHeight="false" outlineLevel="0" collapsed="false">
      <c r="A16" s="2" t="s">
        <v>31</v>
      </c>
      <c r="B16" s="5" t="n">
        <v>1.13</v>
      </c>
      <c r="C16" s="2"/>
      <c r="D16" s="2" t="s">
        <v>32</v>
      </c>
    </row>
    <row r="17" customFormat="false" ht="15" hidden="false" customHeight="false" outlineLevel="0" collapsed="false">
      <c r="A17" s="2" t="s">
        <v>33</v>
      </c>
      <c r="B17" s="5" t="n">
        <v>0.5</v>
      </c>
      <c r="C17" s="2"/>
      <c r="D17" s="2" t="s">
        <v>34</v>
      </c>
    </row>
    <row r="18" customFormat="false" ht="15" hidden="false" customHeight="false" outlineLevel="0" collapsed="false">
      <c r="A18" s="2" t="s">
        <v>35</v>
      </c>
      <c r="B18" s="5" t="n">
        <v>250</v>
      </c>
      <c r="C18" s="2"/>
      <c r="D18" s="2" t="s">
        <v>36</v>
      </c>
    </row>
    <row r="19" customFormat="false" ht="15" hidden="false" customHeight="false" outlineLevel="0" collapsed="false">
      <c r="A19" s="2" t="s">
        <v>37</v>
      </c>
      <c r="B19" s="5" t="n">
        <v>1.05</v>
      </c>
      <c r="C19" s="2"/>
      <c r="D19" s="2" t="s">
        <v>38</v>
      </c>
    </row>
    <row r="20" customFormat="false" ht="15" hidden="false" customHeight="false" outlineLevel="0" collapsed="false">
      <c r="A20" s="2" t="s">
        <v>39</v>
      </c>
      <c r="B20" s="5" t="n">
        <v>1.02</v>
      </c>
      <c r="C20" s="2"/>
      <c r="D20" s="2" t="s">
        <v>40</v>
      </c>
    </row>
    <row r="21" customFormat="false" ht="15" hidden="false" customHeight="false" outlineLevel="0" collapsed="false">
      <c r="A21" s="2" t="s">
        <v>41</v>
      </c>
      <c r="B21" s="5" t="n">
        <v>1.15</v>
      </c>
      <c r="C21" s="2"/>
      <c r="D21" s="2" t="s">
        <v>40</v>
      </c>
    </row>
    <row r="22" customFormat="false" ht="15" hidden="false" customHeight="false" outlineLevel="0" collapsed="false">
      <c r="A22" s="2" t="s">
        <v>42</v>
      </c>
      <c r="B22" s="5" t="n">
        <v>0.1</v>
      </c>
      <c r="C22" s="2"/>
      <c r="D22" s="2" t="s">
        <v>40</v>
      </c>
    </row>
    <row r="25" customFormat="false" ht="15" hidden="false" customHeight="false" outlineLevel="0" collapsed="false">
      <c r="A25" s="4" t="s">
        <v>43</v>
      </c>
      <c r="B25" s="4" t="s">
        <v>44</v>
      </c>
      <c r="C25" s="4" t="s">
        <v>10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/>
      <c r="D26" s="2" t="n">
        <f aca="false">SQRT(235/$B$8)</f>
        <v>0.583592075121765</v>
      </c>
      <c r="E26" s="2" t="n">
        <v>0.583592075121765</v>
      </c>
      <c r="F26" s="6" t="n">
        <f aca="false">IF(E26=0,0,D26/E26-1)</f>
        <v>0</v>
      </c>
    </row>
    <row r="27" customFormat="false" ht="15" hidden="false" customHeight="false" outlineLevel="0" collapsed="false">
      <c r="A27" s="2" t="s">
        <v>52</v>
      </c>
      <c r="B27" s="2" t="s">
        <v>53</v>
      </c>
      <c r="C27" s="2" t="s">
        <v>13</v>
      </c>
      <c r="D27" s="2" t="n">
        <f aca="false">$B$4-2*$B$6</f>
        <v>518.776841383494</v>
      </c>
      <c r="E27" s="2" t="n">
        <v>518.776841383494</v>
      </c>
      <c r="F27" s="6" t="n">
        <f aca="false">IF(E27=0,0,D27/E27-1)</f>
        <v>0</v>
      </c>
    </row>
    <row r="28" customFormat="false" ht="15" hidden="false" customHeight="false" outlineLevel="0" collapsed="false">
      <c r="A28" s="2" t="s">
        <v>54</v>
      </c>
      <c r="B28" s="2" t="s">
        <v>55</v>
      </c>
      <c r="C28" s="2" t="s">
        <v>13</v>
      </c>
      <c r="D28" s="2" t="n">
        <f aca="false">IF(($B$9="rolled"),$B$22*$B$6,0)</f>
        <v>1.49514617464453</v>
      </c>
      <c r="E28" s="2" t="n">
        <v>1.49514617464453</v>
      </c>
      <c r="F28" s="6" t="n">
        <f aca="false">IF(E28=0,0,D28/E28-1)</f>
        <v>0</v>
      </c>
    </row>
    <row r="29" customFormat="false" ht="15" hidden="false" customHeight="false" outlineLevel="0" collapsed="false">
      <c r="A29" s="2" t="s">
        <v>56</v>
      </c>
      <c r="B29" s="2" t="s">
        <v>57</v>
      </c>
      <c r="C29" s="2" t="s">
        <v>13</v>
      </c>
      <c r="D29" s="2" t="n">
        <f aca="false">($B$5-$B$7)/2-$D$28</f>
        <v>119.773206357614</v>
      </c>
      <c r="E29" s="2" t="n">
        <v>119.773206357614</v>
      </c>
      <c r="F29" s="6" t="n">
        <f aca="false">IF(E29=0,0,D29/E29-1)</f>
        <v>0</v>
      </c>
    </row>
    <row r="30" customFormat="false" ht="15" hidden="false" customHeight="false" outlineLevel="0" collapsed="false">
      <c r="A30" s="2" t="s">
        <v>58</v>
      </c>
      <c r="B30" s="2" t="s">
        <v>59</v>
      </c>
      <c r="C30" s="2" t="s">
        <v>13</v>
      </c>
      <c r="D30" s="2" t="n">
        <f aca="false">$D$27-2*$D$28</f>
        <v>515.786549034205</v>
      </c>
      <c r="E30" s="2" t="n">
        <v>515.786549034205</v>
      </c>
      <c r="F30" s="6" t="n">
        <f aca="false">IF(E30=0,0,D30/E30-1)</f>
        <v>0</v>
      </c>
    </row>
    <row r="31" customFormat="false" ht="15" hidden="false" customHeight="false" outlineLevel="0" collapsed="false">
      <c r="A31" s="2" t="s">
        <v>60</v>
      </c>
      <c r="B31" s="2" t="s">
        <v>61</v>
      </c>
      <c r="C31" s="2"/>
      <c r="D31" s="2" t="n">
        <f aca="false">$D$29/($B$6*$D$26)</f>
        <v>13.726715610721</v>
      </c>
      <c r="E31" s="2" t="n">
        <v>13.726715610721</v>
      </c>
      <c r="F31" s="6" t="n">
        <f aca="false">IF(E31=0,0,D31/E31-1)</f>
        <v>0</v>
      </c>
    </row>
    <row r="32" customFormat="false" ht="15" hidden="false" customHeight="false" outlineLevel="0" collapsed="false">
      <c r="A32" s="2" t="s">
        <v>62</v>
      </c>
      <c r="B32" s="2" t="s">
        <v>63</v>
      </c>
      <c r="C32" s="2"/>
      <c r="D32" s="2" t="n">
        <f aca="false">$D$30/($B$7*$D$26)</f>
        <v>123.449223653421</v>
      </c>
      <c r="E32" s="2" t="n">
        <v>123.449223653421</v>
      </c>
      <c r="F32" s="6" t="n">
        <f aca="false">IF(E32=0,0,D32/E32-1)</f>
        <v>0</v>
      </c>
    </row>
    <row r="33" customFormat="false" ht="15" hidden="false" customHeight="false" outlineLevel="0" collapsed="false">
      <c r="A33" s="2" t="s">
        <v>64</v>
      </c>
      <c r="B33" s="2" t="s">
        <v>65</v>
      </c>
      <c r="C33" s="2"/>
      <c r="D33" s="2" t="n">
        <f aca="false">IF(AND($D$31&lt;=9,$D$32&lt;=72),1,IF(AND($D$31&lt;=10,$D$32&lt;=83),2,IF(AND($D$31&lt;=14,$D$32&lt;=124),3,4)))</f>
        <v>3</v>
      </c>
      <c r="E33" s="2" t="n">
        <v>3</v>
      </c>
      <c r="F33" s="6" t="n">
        <f aca="false">IF(E33=0,0,D33/E33-1)</f>
        <v>0</v>
      </c>
      <c r="G33" s="2" t="n">
        <v>3</v>
      </c>
    </row>
    <row r="34" customFormat="false" ht="15" hidden="false" customHeight="false" outlineLevel="0" collapsed="false">
      <c r="A34" s="2" t="s">
        <v>66</v>
      </c>
      <c r="B34" s="2" t="s">
        <v>67</v>
      </c>
      <c r="C34" s="2" t="s">
        <v>68</v>
      </c>
      <c r="D34" s="2" t="n">
        <f aca="false">($D$27*$B$7+2*$B$5*$B$6)*IF(($B$9="rolled"),$B$19,1)</f>
        <v>11739.77171995</v>
      </c>
      <c r="E34" s="2" t="n">
        <v>11739.77171995</v>
      </c>
      <c r="F34" s="6" t="n">
        <f aca="false">IF(E34=0,0,D34/E34-1)</f>
        <v>0</v>
      </c>
    </row>
    <row r="35" customFormat="false" ht="15" hidden="false" customHeight="false" outlineLevel="0" collapsed="false">
      <c r="A35" s="2" t="s">
        <v>69</v>
      </c>
      <c r="B35" s="2" t="s">
        <v>70</v>
      </c>
      <c r="C35" s="2" t="s">
        <v>71</v>
      </c>
      <c r="D35" s="2" t="n">
        <f aca="false">($B$7*$D$27^3/12+2*($B$5*$B$6^3/12+$B$5*$B$6*($B$4/2-$B$6/2)^2))*IF(($B$9="rolled"),$B$20,1)</f>
        <v>627488321.129155</v>
      </c>
      <c r="E35" s="2" t="n">
        <v>627488321.129155</v>
      </c>
      <c r="F35" s="6" t="n">
        <f aca="false">IF(E35=0,0,D35/E35-1)</f>
        <v>0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74</v>
      </c>
      <c r="D36" s="2" t="n">
        <f aca="false">$D$35/($B$4/2)</f>
        <v>2287266.12970874</v>
      </c>
      <c r="E36" s="2" t="n">
        <v>2287266.12970874</v>
      </c>
      <c r="F36" s="6" t="n">
        <f aca="false">IF(E36=0,0,D36/E36-1)</f>
        <v>0</v>
      </c>
    </row>
    <row r="37" customFormat="false" ht="15" hidden="false" customHeight="false" outlineLevel="0" collapsed="false">
      <c r="A37" s="2" t="s">
        <v>75</v>
      </c>
      <c r="B37" s="2" t="s">
        <v>76</v>
      </c>
      <c r="C37" s="2" t="s">
        <v>74</v>
      </c>
      <c r="D37" s="2" t="n">
        <f aca="false">(2*$B$5*$B$6*($B$4/2-$B$6/2)+$B$7*$D$27^2/4)*IF(($B$9="rolled"),$B$19,1)</f>
        <v>2597989.11929033</v>
      </c>
      <c r="E37" s="2" t="n">
        <v>2597989.11929033</v>
      </c>
      <c r="F37" s="6" t="n">
        <f aca="false">IF(E37=0,0,D37/E37-1)</f>
        <v>0</v>
      </c>
    </row>
    <row r="38" customFormat="false" ht="15" hidden="false" customHeight="false" outlineLevel="0" collapsed="false">
      <c r="A38" s="2" t="s">
        <v>77</v>
      </c>
      <c r="B38" s="2" t="s">
        <v>78</v>
      </c>
      <c r="C38" s="2" t="s">
        <v>71</v>
      </c>
      <c r="D38" s="2" t="n">
        <f aca="false">2*$B$6*$B$5^3/12+$D$27*$B$7^3/12</f>
        <v>38810111.624165</v>
      </c>
      <c r="E38" s="2" t="n">
        <v>38810111.624165</v>
      </c>
      <c r="F38" s="6" t="n">
        <f aca="false">IF(E38=0,0,D38/E38-1)</f>
        <v>0</v>
      </c>
    </row>
    <row r="39" customFormat="false" ht="15" hidden="false" customHeight="false" outlineLevel="0" collapsed="false">
      <c r="A39" s="2" t="s">
        <v>79</v>
      </c>
      <c r="B39" s="2" t="s">
        <v>80</v>
      </c>
      <c r="C39" s="2" t="s">
        <v>81</v>
      </c>
      <c r="D39" s="2" t="n">
        <f aca="false">IF($D$33&lt;=2,$D$37,$D$36)*$B$8/$B$14/1000000</f>
        <v>1578.21362949903</v>
      </c>
      <c r="E39" s="2" t="n">
        <v>1578.21362949903</v>
      </c>
      <c r="F39" s="6" t="n">
        <f aca="false">IF(E39=0,0,D39/E39-1)</f>
        <v>0</v>
      </c>
    </row>
    <row r="40" customFormat="false" ht="15" hidden="false" customHeight="false" outlineLevel="0" collapsed="false">
      <c r="A40" s="2" t="s">
        <v>82</v>
      </c>
      <c r="B40" s="2" t="s">
        <v>83</v>
      </c>
      <c r="C40" s="2" t="s">
        <v>71</v>
      </c>
      <c r="D40" s="2" t="n">
        <f aca="false">(2*$B$5*$B$6^3+$D$27*$B$7^3)/3*IF(($B$9="rolled"),$B$21,1)</f>
        <v>712811.733152943</v>
      </c>
      <c r="E40" s="2" t="n">
        <v>712811.733152942</v>
      </c>
      <c r="F40" s="6" t="n">
        <f aca="false">IF(E40=0,0,D40/E40-1)</f>
        <v>0</v>
      </c>
    </row>
    <row r="41" customFormat="false" ht="15" hidden="false" customHeight="false" outlineLevel="0" collapsed="false">
      <c r="A41" s="2" t="s">
        <v>84</v>
      </c>
      <c r="B41" s="2" t="s">
        <v>85</v>
      </c>
      <c r="C41" s="2" t="s">
        <v>86</v>
      </c>
      <c r="D41" s="2" t="n">
        <f aca="false">$D$38*($B$4-$B$6)^2/4</f>
        <v>2763919359384.56</v>
      </c>
      <c r="E41" s="2" t="n">
        <v>2763919359384.56</v>
      </c>
      <c r="F41" s="6" t="n">
        <f aca="false">IF(E41=0,0,D41/E41-1)</f>
        <v>0</v>
      </c>
    </row>
    <row r="42" customFormat="false" ht="15" hidden="false" customHeight="false" outlineLevel="0" collapsed="false">
      <c r="A42" s="2" t="s">
        <v>87</v>
      </c>
      <c r="B42" s="2" t="s">
        <v>88</v>
      </c>
      <c r="C42" s="2" t="s">
        <v>13</v>
      </c>
      <c r="D42" s="2" t="n">
        <f aca="false">$B$15*$B$10*1000</f>
        <v>4036.36363636364</v>
      </c>
      <c r="E42" s="2" t="n">
        <v>4036.36363636364</v>
      </c>
      <c r="F42" s="6" t="n">
        <f aca="false">IF(E42=0,0,D42/E42-1)</f>
        <v>0</v>
      </c>
    </row>
    <row r="43" customFormat="false" ht="15" hidden="false" customHeight="false" outlineLevel="0" collapsed="false">
      <c r="A43" s="2" t="s">
        <v>31</v>
      </c>
      <c r="B43" s="2" t="s">
        <v>31</v>
      </c>
      <c r="C43" s="2"/>
      <c r="D43" s="2" t="n">
        <f aca="false">$B$16</f>
        <v>1.13</v>
      </c>
      <c r="E43" s="2" t="n">
        <v>1.13</v>
      </c>
      <c r="F43" s="6" t="n">
        <f aca="false">IF(E43=0,0,D43/E43-1)</f>
        <v>0</v>
      </c>
    </row>
    <row r="44" customFormat="false" ht="15" hidden="false" customHeight="false" outlineLevel="0" collapsed="false">
      <c r="A44" s="2" t="s">
        <v>89</v>
      </c>
      <c r="B44" s="2" t="s">
        <v>90</v>
      </c>
      <c r="C44" s="2" t="s">
        <v>81</v>
      </c>
      <c r="D44" s="2" t="n">
        <f aca="false">$D$43*PI()^2*$B$12*$D$38/$D$42^2*SQRT($D$41/$D$38+$D$42^2*$B$13*$D$40/(PI()^2*$B$12*$D$38))/1000000</f>
        <v>1606.45089072982</v>
      </c>
      <c r="E44" s="2" t="n">
        <v>1606.45089072982</v>
      </c>
      <c r="F44" s="6" t="n">
        <f aca="false">IF(E44=0,0,D44/E44-1)</f>
        <v>0</v>
      </c>
    </row>
    <row r="45" customFormat="false" ht="15" hidden="false" customHeight="false" outlineLevel="0" collapsed="false">
      <c r="A45" s="2" t="s">
        <v>91</v>
      </c>
      <c r="B45" s="2" t="s">
        <v>92</v>
      </c>
      <c r="C45" s="2"/>
      <c r="D45" s="2" t="n">
        <f aca="false">SQRT(IF($D$33&lt;=2,$D$37,$D$36)*$B$8/1000000/$D$44)</f>
        <v>0.991172326333124</v>
      </c>
      <c r="E45" s="2" t="n">
        <v>0.991172326333124</v>
      </c>
      <c r="F45" s="6" t="n">
        <f aca="false">IF(E45=0,0,D45/E45-1)</f>
        <v>0</v>
      </c>
      <c r="G45" s="2" t="n">
        <v>0.991172326333125</v>
      </c>
    </row>
    <row r="46" customFormat="false" ht="15" hidden="false" customHeight="false" outlineLevel="0" collapsed="false">
      <c r="A46" s="2" t="s">
        <v>93</v>
      </c>
      <c r="B46" s="2" t="s">
        <v>94</v>
      </c>
      <c r="C46" s="2"/>
      <c r="D46" s="2" t="n">
        <f aca="false">IF(($B$9="rolled"),IF($B$4/$B$5&gt;2,0.34,0.21),IF($B$4/$B$5&gt;2,0.76,0.49))</f>
        <v>0.34</v>
      </c>
      <c r="E46" s="2" t="n">
        <v>0.34</v>
      </c>
      <c r="F46" s="6" t="n">
        <f aca="false">IF(E46=0,0,D46/E46-1)</f>
        <v>0</v>
      </c>
    </row>
    <row r="47" customFormat="false" ht="15" hidden="false" customHeight="false" outlineLevel="0" collapsed="false">
      <c r="A47" s="2" t="s">
        <v>95</v>
      </c>
      <c r="B47" s="2" t="s">
        <v>96</v>
      </c>
      <c r="C47" s="2"/>
      <c r="D47" s="2" t="n">
        <f aca="false">0.5*(1+$D$46*($D$45-0.2)+$D$45^2)</f>
        <v>1.12571058572094</v>
      </c>
      <c r="E47" s="2" t="n">
        <v>1.12571058572094</v>
      </c>
      <c r="F47" s="6" t="n">
        <f aca="false">IF(E47=0,0,D47/E47-1)</f>
        <v>0</v>
      </c>
    </row>
    <row r="48" customFormat="false" ht="15" hidden="false" customHeight="false" outlineLevel="0" collapsed="false">
      <c r="A48" s="2" t="s">
        <v>97</v>
      </c>
      <c r="B48" s="2" t="s">
        <v>98</v>
      </c>
      <c r="C48" s="2"/>
      <c r="D48" s="2" t="n">
        <f aca="false">MIN(1,1/($D$47+SQRT($D$47^2-$D$45^2)))</f>
        <v>0.602635161808899</v>
      </c>
      <c r="E48" s="2" t="n">
        <v>0.602635161808899</v>
      </c>
      <c r="F48" s="6" t="n">
        <f aca="false">IF(E48=0,0,D48/E48-1)</f>
        <v>0</v>
      </c>
    </row>
    <row r="49" customFormat="false" ht="15" hidden="false" customHeight="false" outlineLevel="0" collapsed="false">
      <c r="A49" s="2" t="s">
        <v>99</v>
      </c>
      <c r="B49" s="2" t="s">
        <v>100</v>
      </c>
      <c r="C49" s="2" t="s">
        <v>81</v>
      </c>
      <c r="D49" s="2" t="n">
        <f aca="false">$D$48*$D$39</f>
        <v>951.087025982158</v>
      </c>
      <c r="E49" s="2" t="n">
        <v>951.087025982157</v>
      </c>
      <c r="F49" s="6" t="n">
        <f aca="false">IF(E49=0,0,D49/E49-1)</f>
        <v>0</v>
      </c>
      <c r="G49" s="2" t="n">
        <v>951.087025982158</v>
      </c>
    </row>
    <row r="50" customFormat="false" ht="15" hidden="false" customHeight="false" outlineLevel="0" collapsed="false">
      <c r="A50" s="2" t="s">
        <v>101</v>
      </c>
      <c r="B50" s="2" t="s">
        <v>102</v>
      </c>
      <c r="C50" s="2" t="s">
        <v>68</v>
      </c>
      <c r="D50" s="2" t="n">
        <f aca="false">IF(($B$9="rolled"),$D$34-2*$B$5*$B$6+($B$7+2*$D$28)*$B$6,$D$27*$B$7)</f>
        <v>4424.88200626739</v>
      </c>
      <c r="E50" s="2" t="n">
        <v>4424.88200626739</v>
      </c>
      <c r="F50" s="6" t="n">
        <f aca="false">IF(E50=0,0,D50/E50-1)</f>
        <v>0</v>
      </c>
    </row>
    <row r="51" customFormat="false" ht="15" hidden="false" customHeight="false" outlineLevel="0" collapsed="false">
      <c r="A51" s="2" t="s">
        <v>103</v>
      </c>
      <c r="B51" s="2" t="s">
        <v>104</v>
      </c>
      <c r="C51" s="2" t="s">
        <v>105</v>
      </c>
      <c r="D51" s="2" t="n">
        <f aca="false">$D$50*$B$8/SQRT(3)/$B$14/1000</f>
        <v>1762.74770404106</v>
      </c>
      <c r="E51" s="2" t="n">
        <v>1762.74770404106</v>
      </c>
      <c r="F51" s="6" t="n">
        <f aca="false">IF(E51=0,0,D51/E51-1)</f>
        <v>0</v>
      </c>
      <c r="G51" s="2" t="n">
        <v>1762.74770404106</v>
      </c>
    </row>
    <row r="52" customFormat="false" ht="15" hidden="false" customHeight="false" outlineLevel="0" collapsed="false">
      <c r="A52" s="2" t="s">
        <v>106</v>
      </c>
      <c r="B52" s="2" t="s">
        <v>107</v>
      </c>
      <c r="C52" s="2" t="s">
        <v>105</v>
      </c>
      <c r="D52" s="2" t="n">
        <f aca="false">$B$11*$B$10/2</f>
        <v>376.115702479339</v>
      </c>
      <c r="E52" s="2" t="n">
        <v>376.115702479339</v>
      </c>
      <c r="F52" s="6" t="n">
        <f aca="false">IF(E52=0,0,D52/E52-1)</f>
        <v>0</v>
      </c>
      <c r="G52" s="2" t="n">
        <v>376.115702479339</v>
      </c>
    </row>
    <row r="53" customFormat="false" ht="15" hidden="false" customHeight="false" outlineLevel="0" collapsed="false">
      <c r="A53" s="2" t="s">
        <v>108</v>
      </c>
      <c r="B53" s="2" t="s">
        <v>109</v>
      </c>
      <c r="C53" s="2" t="s">
        <v>81</v>
      </c>
      <c r="D53" s="2" t="n">
        <f aca="false">$B$11*$B$10^2/8</f>
        <v>948.837340345605</v>
      </c>
      <c r="E53" s="2" t="n">
        <v>948.837340345605</v>
      </c>
      <c r="F53" s="6" t="n">
        <f aca="false">IF(E53=0,0,D53/E53-1)</f>
        <v>0</v>
      </c>
      <c r="G53" s="2" t="n">
        <v>948.837340345605</v>
      </c>
    </row>
    <row r="54" customFormat="false" ht="15" hidden="false" customHeight="false" outlineLevel="0" collapsed="false">
      <c r="A54" s="2" t="s">
        <v>110</v>
      </c>
      <c r="B54" s="2" t="s">
        <v>111</v>
      </c>
      <c r="C54" s="2"/>
      <c r="D54" s="2" t="n">
        <f aca="false">$D$52/$D$51</f>
        <v>0.213368992974492</v>
      </c>
      <c r="E54" s="2" t="n">
        <v>0.213368992974492</v>
      </c>
      <c r="F54" s="6" t="n">
        <f aca="false">IF(E54=0,0,D54/E54-1)</f>
        <v>0</v>
      </c>
      <c r="G54" s="2" t="n">
        <v>0.213368992974371</v>
      </c>
    </row>
    <row r="55" customFormat="false" ht="15" hidden="false" customHeight="false" outlineLevel="0" collapsed="false">
      <c r="A55" s="2" t="s">
        <v>112</v>
      </c>
      <c r="B55" s="2" t="s">
        <v>113</v>
      </c>
      <c r="C55" s="2"/>
      <c r="D55" s="2" t="n">
        <f aca="false">$D$53/$D$49</f>
        <v>0.997634616417745</v>
      </c>
      <c r="E55" s="2" t="n">
        <v>0.997634616417746</v>
      </c>
      <c r="F55" s="6" t="n">
        <f aca="false">IF(E55=0,0,D55/E55-1)</f>
        <v>0</v>
      </c>
      <c r="G55" s="2" t="n">
        <v>0.997634616416697</v>
      </c>
    </row>
    <row r="56" customFormat="false" ht="15" hidden="false" customHeight="false" outlineLevel="0" collapsed="false">
      <c r="A56" s="2" t="s">
        <v>114</v>
      </c>
      <c r="B56" s="2" t="s">
        <v>115</v>
      </c>
      <c r="C56" s="2" t="s">
        <v>13</v>
      </c>
      <c r="D56" s="2" t="n">
        <f aca="false">5*$B$11*$B$17*($B$10*1000)^4/(384*$B$12*$D$35)</f>
        <v>38.1879358382841</v>
      </c>
      <c r="E56" s="2" t="n">
        <v>38.1879358382841</v>
      </c>
      <c r="F56" s="6" t="n">
        <f aca="false">IF(E56=0,0,D56/E56-1)</f>
        <v>0</v>
      </c>
    </row>
    <row r="57" customFormat="false" ht="15" hidden="false" customHeight="false" outlineLevel="0" collapsed="false">
      <c r="A57" s="2" t="s">
        <v>116</v>
      </c>
      <c r="B57" s="2" t="s">
        <v>117</v>
      </c>
      <c r="C57" s="2"/>
      <c r="D57" s="2" t="n">
        <f aca="false">$D$56/($B$10*1000/$B$18)</f>
        <v>0.946097509507039</v>
      </c>
      <c r="E57" s="2" t="n">
        <v>0.946097509507039</v>
      </c>
      <c r="F57" s="6" t="n">
        <f aca="false">IF(E57=0,0,D57/E57-1)</f>
        <v>0</v>
      </c>
      <c r="G57" s="2" t="n">
        <v>0.946097509507039</v>
      </c>
    </row>
    <row r="58" customFormat="false" ht="15" hidden="false" customHeight="false" outlineLevel="0" collapsed="false">
      <c r="A58" s="2" t="s">
        <v>118</v>
      </c>
      <c r="B58" s="2" t="s">
        <v>119</v>
      </c>
      <c r="C58" s="2"/>
      <c r="D58" s="2" t="n">
        <f aca="false">$D$27/(86.4*$B$7*$D$26)</f>
        <v>1.43709404252315</v>
      </c>
      <c r="E58" s="2" t="n">
        <v>1.43709404252315</v>
      </c>
      <c r="F58" s="6" t="n">
        <f aca="false">IF(E58=0,0,D58/E58-1)</f>
        <v>0</v>
      </c>
    </row>
    <row r="59" customFormat="false" ht="15" hidden="false" customHeight="false" outlineLevel="0" collapsed="false">
      <c r="A59" s="2" t="s">
        <v>120</v>
      </c>
      <c r="B59" s="2" t="s">
        <v>121</v>
      </c>
      <c r="C59" s="2"/>
      <c r="D59" s="2" t="n">
        <f aca="false">$D$52/(IF($D$58&lt;0.83,1,IF($D$58&lt;1.08,0.83/$D$58,1.37/(0.7+$D$58)))*$B$8*$D$27*$B$7/SQRT(3)/1000)</f>
        <v>0.39653655057751</v>
      </c>
      <c r="E59" s="2" t="n">
        <v>0.39653655057751</v>
      </c>
      <c r="F59" s="6" t="n">
        <f aca="false">IF(E59=0,0,D59/E59-1)</f>
        <v>0</v>
      </c>
    </row>
    <row r="61" customFormat="false" ht="15" hidden="false" customHeight="false" outlineLevel="0" collapsed="false">
      <c r="A61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2026-10-10T11:28:34Z</dcterms:created>
  <dc:creator>openpyxl</dc:creator>
  <dc:description/>
  <dc:language>en-US</dc:language>
  <cp:lastModifiedBy/>
  <dcterms:modified xsi:type="dcterms:W3CDTF">2026-10-10T11:28:34Z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